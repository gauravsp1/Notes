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E:\Vs coding interview\"/>
    </mc:Choice>
  </mc:AlternateContent>
  <xr:revisionPtr revIDLastSave="0" documentId="13_ncr:1_{1D998406-2B09-4763-9A28-CDBB26380EF6}"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 i="3" l="1"/>
  <c r="P9" i="3"/>
  <c r="P10" i="3"/>
  <c r="P11" i="3"/>
  <c r="P12" i="3"/>
  <c r="P13" i="3"/>
  <c r="P14" i="3"/>
  <c r="P15" i="3"/>
  <c r="P16" i="3"/>
  <c r="P17" i="3"/>
  <c r="P18" i="3"/>
  <c r="P19" i="3"/>
  <c r="P20" i="3"/>
  <c r="P21" i="3"/>
  <c r="P22" i="3"/>
  <c r="P7" i="3"/>
  <c r="P6" i="3"/>
  <c r="BB6" i="3"/>
  <c r="BC6" i="3" s="1"/>
  <c r="BD6" i="3" s="1"/>
  <c r="AX6" i="3"/>
  <c r="AY6" i="3" s="1"/>
  <c r="AS6" i="3"/>
  <c r="AT6" i="3" s="1"/>
  <c r="AK10" i="3"/>
  <c r="AK9" i="3"/>
  <c r="AK8" i="3"/>
  <c r="AK7" i="3"/>
  <c r="AG6" i="3"/>
  <c r="AG7" i="3" s="1"/>
  <c r="AF6" i="3"/>
  <c r="AK6" i="3" s="1"/>
  <c r="AC6" i="3"/>
  <c r="AD6" i="3" s="1"/>
  <c r="X6" i="3"/>
  <c r="X7" i="3" s="1"/>
  <c r="Y7" i="3" s="1"/>
  <c r="F8" i="4"/>
  <c r="F9" i="4"/>
  <c r="F5" i="4" s="1"/>
  <c r="F10" i="4"/>
  <c r="C10" i="4" s="1"/>
  <c r="F11" i="4"/>
  <c r="C11" i="4" s="1"/>
  <c r="F12" i="4"/>
  <c r="F13" i="4"/>
  <c r="F14" i="4"/>
  <c r="F15" i="4"/>
  <c r="F16" i="4"/>
  <c r="F17" i="4"/>
  <c r="F18" i="4"/>
  <c r="D18" i="4" s="1"/>
  <c r="B18" i="4" s="1"/>
  <c r="F19" i="4"/>
  <c r="C19" i="4" s="1"/>
  <c r="F20" i="4"/>
  <c r="D20" i="4" s="1"/>
  <c r="B20" i="4" s="1"/>
  <c r="F21" i="4"/>
  <c r="D21" i="4" s="1"/>
  <c r="B21" i="4" s="1"/>
  <c r="F22" i="4"/>
  <c r="C22" i="4" s="1"/>
  <c r="F23" i="4"/>
  <c r="C23" i="4" s="1"/>
  <c r="F24" i="4"/>
  <c r="C24" i="4" s="1"/>
  <c r="F25" i="4"/>
  <c r="F26" i="4"/>
  <c r="C26" i="4" s="1"/>
  <c r="F27" i="4"/>
  <c r="C27" i="4" s="1"/>
  <c r="F28" i="4"/>
  <c r="F29" i="4"/>
  <c r="F30" i="4"/>
  <c r="F31" i="4"/>
  <c r="F32" i="4"/>
  <c r="F33" i="4"/>
  <c r="C33" i="4" s="1"/>
  <c r="F34" i="4"/>
  <c r="D34" i="4" s="1"/>
  <c r="B34" i="4" s="1"/>
  <c r="F35" i="4"/>
  <c r="D35" i="4" s="1"/>
  <c r="B35" i="4" s="1"/>
  <c r="F36" i="4"/>
  <c r="C36" i="4" s="1"/>
  <c r="F7" i="4"/>
  <c r="D10" i="4"/>
  <c r="B10" i="4" s="1"/>
  <c r="C12" i="4"/>
  <c r="D12" i="4"/>
  <c r="B12" i="4" s="1"/>
  <c r="C13" i="4"/>
  <c r="D13" i="4"/>
  <c r="B13" i="4" s="1"/>
  <c r="C14" i="4"/>
  <c r="D14" i="4"/>
  <c r="B14" i="4" s="1"/>
  <c r="C15" i="4"/>
  <c r="D15" i="4"/>
  <c r="B15" i="4" s="1"/>
  <c r="C16" i="4"/>
  <c r="D16" i="4"/>
  <c r="B16" i="4" s="1"/>
  <c r="C17" i="4"/>
  <c r="D17" i="4"/>
  <c r="B17" i="4" s="1"/>
  <c r="C18" i="4"/>
  <c r="D24" i="4"/>
  <c r="B24" i="4" s="1"/>
  <c r="C25" i="4"/>
  <c r="D25" i="4"/>
  <c r="B25" i="4" s="1"/>
  <c r="C28" i="4"/>
  <c r="D28" i="4"/>
  <c r="B28" i="4" s="1"/>
  <c r="C29" i="4"/>
  <c r="D29" i="4"/>
  <c r="B29" i="4" s="1"/>
  <c r="C30" i="4"/>
  <c r="D30" i="4"/>
  <c r="B30" i="4" s="1"/>
  <c r="C31" i="4"/>
  <c r="D31" i="4"/>
  <c r="B31" i="4" s="1"/>
  <c r="C32" i="4"/>
  <c r="D32" i="4"/>
  <c r="B32" i="4" s="1"/>
  <c r="D36" i="4"/>
  <c r="B36" i="4" s="1"/>
  <c r="E17" i="4"/>
  <c r="E18" i="4" s="1"/>
  <c r="E19" i="4" s="1"/>
  <c r="E20" i="4" s="1"/>
  <c r="E21" i="4" s="1"/>
  <c r="E22" i="4" s="1"/>
  <c r="E23" i="4" s="1"/>
  <c r="E24" i="4" s="1"/>
  <c r="E25" i="4" s="1"/>
  <c r="E26" i="4" s="1"/>
  <c r="E27" i="4" s="1"/>
  <c r="E28" i="4" s="1"/>
  <c r="E29" i="4" s="1"/>
  <c r="E30" i="4" s="1"/>
  <c r="E31" i="4" s="1"/>
  <c r="E32" i="4" s="1"/>
  <c r="E33" i="4" s="1"/>
  <c r="E34" i="4" s="1"/>
  <c r="E35" i="4" s="1"/>
  <c r="E36" i="4" s="1"/>
  <c r="E9" i="4"/>
  <c r="E10" i="4"/>
  <c r="E11" i="4"/>
  <c r="E12" i="4" s="1"/>
  <c r="E13" i="4" s="1"/>
  <c r="E14" i="4" s="1"/>
  <c r="E15" i="4" s="1"/>
  <c r="E16" i="4" s="1"/>
  <c r="H8" i="4"/>
  <c r="I8" i="4"/>
  <c r="H9" i="4"/>
  <c r="I9" i="4"/>
  <c r="I10" i="4"/>
  <c r="H10" i="4" s="1"/>
  <c r="I11" i="4"/>
  <c r="H11" i="4" s="1"/>
  <c r="I12" i="4"/>
  <c r="H12" i="4" s="1"/>
  <c r="I13" i="4"/>
  <c r="H13" i="4" s="1"/>
  <c r="I14" i="4"/>
  <c r="H14" i="4" s="1"/>
  <c r="I15" i="4"/>
  <c r="H15" i="4" s="1"/>
  <c r="H16" i="4"/>
  <c r="I16" i="4"/>
  <c r="H17" i="4"/>
  <c r="I17" i="4"/>
  <c r="I18" i="4"/>
  <c r="H18" i="4" s="1"/>
  <c r="I19" i="4"/>
  <c r="H19" i="4" s="1"/>
  <c r="I20" i="4"/>
  <c r="H20" i="4" s="1"/>
  <c r="I21" i="4"/>
  <c r="H21" i="4" s="1"/>
  <c r="I22" i="4"/>
  <c r="H22" i="4" s="1"/>
  <c r="I23" i="4"/>
  <c r="H23" i="4" s="1"/>
  <c r="H24" i="4"/>
  <c r="I24" i="4"/>
  <c r="H25" i="4"/>
  <c r="I25" i="4"/>
  <c r="I26" i="4"/>
  <c r="H26" i="4" s="1"/>
  <c r="I27" i="4"/>
  <c r="H27" i="4" s="1"/>
  <c r="I28" i="4"/>
  <c r="H28" i="4" s="1"/>
  <c r="I29" i="4"/>
  <c r="H29" i="4" s="1"/>
  <c r="I30" i="4"/>
  <c r="H30" i="4" s="1"/>
  <c r="I31" i="4"/>
  <c r="H31" i="4" s="1"/>
  <c r="H32" i="4"/>
  <c r="I32" i="4"/>
  <c r="H33" i="4"/>
  <c r="I33" i="4"/>
  <c r="I34" i="4"/>
  <c r="H34" i="4" s="1"/>
  <c r="I35" i="4"/>
  <c r="H35" i="4" s="1"/>
  <c r="I36" i="4"/>
  <c r="H36" i="4" s="1"/>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7" i="4"/>
  <c r="J12" i="4"/>
  <c r="J13" i="4"/>
  <c r="J14" i="4"/>
  <c r="J15" i="4"/>
  <c r="J16" i="4"/>
  <c r="J17" i="4"/>
  <c r="J18" i="4"/>
  <c r="J19" i="4"/>
  <c r="J20" i="4"/>
  <c r="J21" i="4"/>
  <c r="J22" i="4"/>
  <c r="J23" i="4"/>
  <c r="J24" i="4"/>
  <c r="J25" i="4"/>
  <c r="J26" i="4"/>
  <c r="J27" i="4"/>
  <c r="J28" i="4" s="1"/>
  <c r="J29" i="4" s="1"/>
  <c r="J30" i="4" s="1"/>
  <c r="J31" i="4" s="1"/>
  <c r="J32" i="4" s="1"/>
  <c r="J33" i="4" s="1"/>
  <c r="J34" i="4" s="1"/>
  <c r="J35" i="4" s="1"/>
  <c r="J36" i="4" s="1"/>
  <c r="J9" i="4"/>
  <c r="J10" i="4" s="1"/>
  <c r="J11" i="4" s="1"/>
  <c r="N9" i="4"/>
  <c r="O9" i="4"/>
  <c r="P9" i="4" s="1"/>
  <c r="R9" i="4"/>
  <c r="N10" i="4"/>
  <c r="N11" i="4" s="1"/>
  <c r="O10" i="4"/>
  <c r="R10" i="4"/>
  <c r="R11" i="4"/>
  <c r="R12" i="4"/>
  <c r="R13" i="4"/>
  <c r="R14" i="4"/>
  <c r="R15" i="4"/>
  <c r="R16" i="4"/>
  <c r="R17" i="4"/>
  <c r="R18" i="4"/>
  <c r="R19" i="4"/>
  <c r="R20" i="4"/>
  <c r="R21" i="4"/>
  <c r="R22" i="4"/>
  <c r="R23" i="4"/>
  <c r="R24" i="4"/>
  <c r="R25" i="4"/>
  <c r="R26" i="4"/>
  <c r="R27" i="4"/>
  <c r="R28" i="4"/>
  <c r="R29" i="4"/>
  <c r="R30" i="4"/>
  <c r="R31" i="4"/>
  <c r="R32" i="4"/>
  <c r="R33" i="4"/>
  <c r="R34" i="4"/>
  <c r="R35" i="4"/>
  <c r="R36" i="4"/>
  <c r="R8" i="4"/>
  <c r="N7" i="4"/>
  <c r="N8" i="4" s="1"/>
  <c r="O8" i="4" s="1"/>
  <c r="M7" i="4"/>
  <c r="R7" i="4" s="1"/>
  <c r="J7" i="4"/>
  <c r="E7" i="4"/>
  <c r="J51" i="3"/>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N51" i="3"/>
  <c r="M51" i="3"/>
  <c r="E51" i="3"/>
  <c r="F51" i="3" s="1"/>
  <c r="N6" i="3"/>
  <c r="N7" i="3" s="1"/>
  <c r="M6" i="3"/>
  <c r="J6" i="3"/>
  <c r="J7" i="3" s="1"/>
  <c r="S7" i="3" s="1"/>
  <c r="E6" i="3"/>
  <c r="E7" i="3" s="1"/>
  <c r="E8" i="3" s="1"/>
  <c r="E9" i="3" s="1"/>
  <c r="E10" i="3" s="1"/>
  <c r="F10" i="3" s="1"/>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7" i="2"/>
  <c r="J57" i="2"/>
  <c r="J58" i="2" s="1"/>
  <c r="J59" i="2" s="1"/>
  <c r="J60" i="2" s="1"/>
  <c r="J61" i="2" s="1"/>
  <c r="J62" i="2" s="1"/>
  <c r="J63" i="2" s="1"/>
  <c r="J64" i="2" s="1"/>
  <c r="J65" i="2" s="1"/>
  <c r="J66" i="2" s="1"/>
  <c r="J67" i="2" s="1"/>
  <c r="J68" i="2" s="1"/>
  <c r="J69" i="2" s="1"/>
  <c r="J70" i="2" s="1"/>
  <c r="J71" i="2" s="1"/>
  <c r="J72" i="2" s="1"/>
  <c r="J73" i="2" s="1"/>
  <c r="J74" i="2" s="1"/>
  <c r="J75" i="2" s="1"/>
  <c r="J76" i="2" s="1"/>
  <c r="J7" i="2"/>
  <c r="J8" i="2" s="1"/>
  <c r="J9" i="2" s="1"/>
  <c r="J10" i="2" s="1"/>
  <c r="J11" i="2" s="1"/>
  <c r="J12" i="2" s="1"/>
  <c r="J13" i="2" s="1"/>
  <c r="J14" i="2" s="1"/>
  <c r="J15" i="2" s="1"/>
  <c r="J16" i="2" s="1"/>
  <c r="J17" i="2" s="1"/>
  <c r="J18" i="2" s="1"/>
  <c r="J19" i="2" s="1"/>
  <c r="J20" i="2" s="1"/>
  <c r="J21" i="2" s="1"/>
  <c r="J22" i="2" s="1"/>
  <c r="J23" i="2" s="1"/>
  <c r="J24" i="2" s="1"/>
  <c r="J25" i="2" s="1"/>
  <c r="J26" i="2" s="1"/>
  <c r="J27" i="2" s="1"/>
  <c r="F7" i="2"/>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I7" i="2"/>
  <c r="I8" i="2" s="1"/>
  <c r="I9" i="2" s="1"/>
  <c r="I10" i="2" s="1"/>
  <c r="I11" i="2" s="1"/>
  <c r="I12" i="2" s="1"/>
  <c r="I13" i="2" s="1"/>
  <c r="I14" i="2" s="1"/>
  <c r="I15" i="2" s="1"/>
  <c r="I16" i="2" s="1"/>
  <c r="I17" i="2" s="1"/>
  <c r="I18" i="2" s="1"/>
  <c r="I19" i="2" s="1"/>
  <c r="I20" i="2" s="1"/>
  <c r="I21" i="2" s="1"/>
  <c r="I57" i="2"/>
  <c r="I58" i="2" s="1"/>
  <c r="F57" i="2"/>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K56" i="2"/>
  <c r="N7" i="2"/>
  <c r="N8" i="2" s="1"/>
  <c r="N9" i="2" s="1"/>
  <c r="N10" i="2" s="1"/>
  <c r="N11" i="2" s="1"/>
  <c r="N12" i="2" s="1"/>
  <c r="N13" i="2" s="1"/>
  <c r="N14" i="2" s="1"/>
  <c r="N15" i="2" s="1"/>
  <c r="N16" i="2" s="1"/>
  <c r="N17" i="2" s="1"/>
  <c r="N18" i="2" s="1"/>
  <c r="N19" i="2" s="1"/>
  <c r="N20" i="2" s="1"/>
  <c r="N21" i="2" s="1"/>
  <c r="O21" i="2" s="1"/>
  <c r="N56" i="2"/>
  <c r="O56" i="2" s="1"/>
  <c r="M7" i="2"/>
  <c r="AH7" i="3" l="1"/>
  <c r="AG8" i="3"/>
  <c r="AG9" i="3" s="1"/>
  <c r="S6" i="3"/>
  <c r="AC7" i="3"/>
  <c r="F6" i="3"/>
  <c r="AX7" i="3"/>
  <c r="BB7" i="3"/>
  <c r="F8" i="3"/>
  <c r="Y6" i="3"/>
  <c r="F7" i="3"/>
  <c r="AW6" i="3"/>
  <c r="AV6" i="3" s="1"/>
  <c r="AS7" i="3"/>
  <c r="AR6" i="3"/>
  <c r="AP6" i="3" s="1"/>
  <c r="AH6" i="3"/>
  <c r="X8" i="3"/>
  <c r="Y8" i="3" s="1"/>
  <c r="AG10" i="3"/>
  <c r="AH9" i="3"/>
  <c r="AH8" i="3"/>
  <c r="F9" i="3"/>
  <c r="D9" i="4"/>
  <c r="B9" i="4" s="1"/>
  <c r="D23" i="4"/>
  <c r="B23" i="4" s="1"/>
  <c r="C35" i="4"/>
  <c r="C21" i="4"/>
  <c r="D27" i="4"/>
  <c r="B27" i="4" s="1"/>
  <c r="C20" i="4"/>
  <c r="C34" i="4"/>
  <c r="D26" i="4"/>
  <c r="B26" i="4" s="1"/>
  <c r="D19" i="4"/>
  <c r="B19" i="4" s="1"/>
  <c r="C9" i="4"/>
  <c r="D22" i="4"/>
  <c r="B22" i="4" s="1"/>
  <c r="D33" i="4"/>
  <c r="B33" i="4" s="1"/>
  <c r="D11" i="4"/>
  <c r="B11" i="4" s="1"/>
  <c r="P10" i="4"/>
  <c r="N12" i="4"/>
  <c r="O11" i="4"/>
  <c r="O7" i="4"/>
  <c r="P7" i="4" s="1"/>
  <c r="I7" i="4" s="1"/>
  <c r="E8" i="4"/>
  <c r="J8" i="4"/>
  <c r="K76" i="3"/>
  <c r="J77" i="3"/>
  <c r="P51" i="3"/>
  <c r="Q51" i="3" s="1"/>
  <c r="E52" i="3"/>
  <c r="N52" i="3"/>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K52" i="3"/>
  <c r="K51" i="3"/>
  <c r="K54" i="3"/>
  <c r="K53" i="3"/>
  <c r="E11" i="3"/>
  <c r="F11" i="3" s="1"/>
  <c r="N8" i="3"/>
  <c r="K7" i="3"/>
  <c r="J8" i="3"/>
  <c r="S8" i="3" s="1"/>
  <c r="Q6" i="3"/>
  <c r="K6" i="3"/>
  <c r="J28" i="2"/>
  <c r="K28" i="2" s="1"/>
  <c r="K27" i="2"/>
  <c r="N57" i="2"/>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K76" i="2"/>
  <c r="J77" i="2"/>
  <c r="K26" i="2"/>
  <c r="H56" i="2"/>
  <c r="D56" i="2" s="1"/>
  <c r="I59" i="2"/>
  <c r="K58" i="2"/>
  <c r="K57" i="2"/>
  <c r="K20" i="2"/>
  <c r="D20" i="2" s="1"/>
  <c r="I22" i="2"/>
  <c r="N22" i="2"/>
  <c r="O22" i="2" s="1"/>
  <c r="K21" i="2"/>
  <c r="O9" i="2"/>
  <c r="K7" i="2"/>
  <c r="K10" i="2"/>
  <c r="K9" i="2"/>
  <c r="K8" i="2"/>
  <c r="O11" i="2"/>
  <c r="K12" i="2"/>
  <c r="O10" i="2"/>
  <c r="K11" i="2"/>
  <c r="O7" i="2"/>
  <c r="O20" i="2"/>
  <c r="O19" i="2"/>
  <c r="O18" i="2"/>
  <c r="O17" i="2"/>
  <c r="O16" i="2"/>
  <c r="O15" i="2"/>
  <c r="O14" i="2"/>
  <c r="O13" i="2"/>
  <c r="O12" i="2"/>
  <c r="O8" i="2"/>
  <c r="AI6" i="3" l="1"/>
  <c r="AB6" i="3" s="1"/>
  <c r="AA6" i="3" s="1"/>
  <c r="AM6" i="3"/>
  <c r="AY7" i="3"/>
  <c r="AX8" i="3"/>
  <c r="AS8" i="3"/>
  <c r="AT7" i="3"/>
  <c r="BC7" i="3"/>
  <c r="BD7" i="3" s="1"/>
  <c r="AW7" i="3" s="1"/>
  <c r="BB8" i="3"/>
  <c r="AM8" i="3"/>
  <c r="AD7" i="3"/>
  <c r="AC8" i="3"/>
  <c r="AH10" i="3"/>
  <c r="AG11" i="3"/>
  <c r="AQ6" i="3"/>
  <c r="AM7" i="3"/>
  <c r="AQ7" i="3"/>
  <c r="AV7" i="3"/>
  <c r="AR7" i="3"/>
  <c r="AP7" i="3" s="1"/>
  <c r="V6" i="3"/>
  <c r="AI7" i="3"/>
  <c r="X9" i="3"/>
  <c r="Y9" i="3" s="1"/>
  <c r="W6" i="3"/>
  <c r="U6" i="3" s="1"/>
  <c r="N13" i="4"/>
  <c r="O12" i="4"/>
  <c r="P12" i="4" s="1"/>
  <c r="P11" i="4"/>
  <c r="P8" i="4"/>
  <c r="D7" i="4"/>
  <c r="B7" i="4" s="1"/>
  <c r="H7" i="4"/>
  <c r="C7" i="4"/>
  <c r="E53" i="3"/>
  <c r="F52" i="3"/>
  <c r="Q7" i="3"/>
  <c r="I7" i="3" s="1"/>
  <c r="H7" i="3" s="1"/>
  <c r="J78" i="3"/>
  <c r="K77" i="3"/>
  <c r="N77" i="3"/>
  <c r="P76" i="3"/>
  <c r="I51" i="3"/>
  <c r="P52" i="3"/>
  <c r="Q52" i="3" s="1"/>
  <c r="I52" i="3" s="1"/>
  <c r="K55" i="3"/>
  <c r="I6" i="3"/>
  <c r="H6" i="3" s="1"/>
  <c r="E12" i="3"/>
  <c r="F12" i="3" s="1"/>
  <c r="J9" i="3"/>
  <c r="S9" i="3" s="1"/>
  <c r="K8" i="3"/>
  <c r="N9" i="3"/>
  <c r="O57" i="2"/>
  <c r="H57" i="2" s="1"/>
  <c r="D57" i="2" s="1"/>
  <c r="J29" i="2"/>
  <c r="J30" i="2" s="1"/>
  <c r="D8" i="2"/>
  <c r="N82" i="2"/>
  <c r="O81" i="2"/>
  <c r="J78" i="2"/>
  <c r="K77" i="2"/>
  <c r="D11" i="2"/>
  <c r="D10" i="2"/>
  <c r="I60" i="2"/>
  <c r="K59" i="2"/>
  <c r="D21" i="2"/>
  <c r="K16" i="2"/>
  <c r="D16" i="2" s="1"/>
  <c r="K17" i="2"/>
  <c r="D17" i="2" s="1"/>
  <c r="K13" i="2"/>
  <c r="D13" i="2" s="1"/>
  <c r="D9" i="2"/>
  <c r="D7" i="2"/>
  <c r="K14" i="2"/>
  <c r="D14" i="2" s="1"/>
  <c r="K15" i="2"/>
  <c r="D15" i="2" s="1"/>
  <c r="K18" i="2"/>
  <c r="D18" i="2" s="1"/>
  <c r="K19" i="2"/>
  <c r="D19" i="2" s="1"/>
  <c r="D12" i="2"/>
  <c r="K22" i="2"/>
  <c r="N23" i="2"/>
  <c r="O23" i="2" s="1"/>
  <c r="I23" i="2"/>
  <c r="O58" i="2"/>
  <c r="H58" i="2" s="1"/>
  <c r="D58" i="2" s="1"/>
  <c r="AG12" i="3" l="1"/>
  <c r="AH11" i="3"/>
  <c r="AC9" i="3"/>
  <c r="AD8" i="3"/>
  <c r="AB7" i="3"/>
  <c r="BB9" i="3"/>
  <c r="BC8" i="3"/>
  <c r="BD8" i="3" s="1"/>
  <c r="AS9" i="3"/>
  <c r="AT8" i="3"/>
  <c r="AX9" i="3"/>
  <c r="AY8" i="3"/>
  <c r="AW8" i="3" s="1"/>
  <c r="AQ8" i="3" s="1"/>
  <c r="AV8" i="3"/>
  <c r="AR8" i="3"/>
  <c r="AP8" i="3" s="1"/>
  <c r="AI8" i="3"/>
  <c r="X10" i="3"/>
  <c r="Y10" i="3" s="1"/>
  <c r="O13" i="4"/>
  <c r="P13" i="4" s="1"/>
  <c r="N14" i="4"/>
  <c r="D8" i="4"/>
  <c r="B8" i="4" s="1"/>
  <c r="C8" i="4"/>
  <c r="E54" i="3"/>
  <c r="F53" i="3"/>
  <c r="F49" i="3" s="1"/>
  <c r="J79" i="3"/>
  <c r="K78" i="3"/>
  <c r="D51" i="3"/>
  <c r="B51" i="3" s="1"/>
  <c r="C51" i="3"/>
  <c r="H51" i="3"/>
  <c r="P77" i="3"/>
  <c r="N78" i="3"/>
  <c r="H52" i="3"/>
  <c r="D52" i="3"/>
  <c r="B52" i="3" s="1"/>
  <c r="C52" i="3"/>
  <c r="P53" i="3"/>
  <c r="Q53" i="3" s="1"/>
  <c r="K56" i="3"/>
  <c r="C7" i="3"/>
  <c r="D7" i="3"/>
  <c r="B7" i="3" s="1"/>
  <c r="D6" i="3"/>
  <c r="B6" i="3" s="1"/>
  <c r="C6" i="3"/>
  <c r="AM9" i="3"/>
  <c r="N10" i="3"/>
  <c r="E13" i="3"/>
  <c r="F13" i="3" s="1"/>
  <c r="Q8" i="3"/>
  <c r="I8" i="3" s="1"/>
  <c r="H8" i="3" s="1"/>
  <c r="K9" i="3"/>
  <c r="J10" i="3"/>
  <c r="S10" i="3" s="1"/>
  <c r="K29" i="2"/>
  <c r="O82" i="2"/>
  <c r="N83" i="2"/>
  <c r="K78" i="2"/>
  <c r="J79" i="2"/>
  <c r="K30" i="2"/>
  <c r="J31" i="2"/>
  <c r="K60" i="2"/>
  <c r="I61" i="2"/>
  <c r="D22" i="2"/>
  <c r="N24" i="2"/>
  <c r="O24" i="2" s="1"/>
  <c r="I24" i="2"/>
  <c r="K23" i="2"/>
  <c r="O59" i="2"/>
  <c r="H59" i="2" s="1"/>
  <c r="D59" i="2" s="1"/>
  <c r="AY9" i="3" l="1"/>
  <c r="AX10" i="3"/>
  <c r="AT9" i="3"/>
  <c r="AS10" i="3"/>
  <c r="BC9" i="3"/>
  <c r="BD9" i="3" s="1"/>
  <c r="AW9" i="3" s="1"/>
  <c r="BB10" i="3"/>
  <c r="AA7" i="3"/>
  <c r="W7" i="3"/>
  <c r="U7" i="3" s="1"/>
  <c r="V7" i="3"/>
  <c r="AC10" i="3"/>
  <c r="AD9" i="3"/>
  <c r="AH12" i="3"/>
  <c r="AG13" i="3"/>
  <c r="X11" i="3"/>
  <c r="Y11" i="3" s="1"/>
  <c r="AB8" i="3"/>
  <c r="AA8" i="3" s="1"/>
  <c r="AI9" i="3"/>
  <c r="O14" i="4"/>
  <c r="P14" i="4" s="1"/>
  <c r="N15" i="4"/>
  <c r="F54" i="3"/>
  <c r="E55" i="3"/>
  <c r="N79" i="3"/>
  <c r="P78" i="3"/>
  <c r="J80" i="3"/>
  <c r="K79" i="3"/>
  <c r="P54" i="3"/>
  <c r="Q54" i="3" s="1"/>
  <c r="I54" i="3" s="1"/>
  <c r="I53" i="3"/>
  <c r="K57" i="3"/>
  <c r="C8" i="3"/>
  <c r="D8" i="3"/>
  <c r="B8" i="3" s="1"/>
  <c r="Q9" i="3"/>
  <c r="I9" i="3" s="1"/>
  <c r="H9" i="3" s="1"/>
  <c r="AM10" i="3"/>
  <c r="N11" i="3"/>
  <c r="J11" i="3"/>
  <c r="S11" i="3" s="1"/>
  <c r="K10" i="3"/>
  <c r="E14" i="3"/>
  <c r="F14" i="3" s="1"/>
  <c r="K31" i="2"/>
  <c r="J32" i="2"/>
  <c r="N84" i="2"/>
  <c r="O83" i="2"/>
  <c r="J80" i="2"/>
  <c r="K79" i="2"/>
  <c r="D23" i="2"/>
  <c r="N25" i="2"/>
  <c r="K61" i="2"/>
  <c r="I62" i="2"/>
  <c r="I25" i="2"/>
  <c r="I26" i="2" s="1"/>
  <c r="K24" i="2"/>
  <c r="K25" i="2"/>
  <c r="O60" i="2"/>
  <c r="H60" i="2" s="1"/>
  <c r="D60" i="2" s="1"/>
  <c r="AH13" i="3" l="1"/>
  <c r="AG14" i="3"/>
  <c r="AD10" i="3"/>
  <c r="AC11" i="3"/>
  <c r="BC10" i="3"/>
  <c r="BD10" i="3" s="1"/>
  <c r="BB11" i="3"/>
  <c r="AT10" i="3"/>
  <c r="AS11" i="3"/>
  <c r="AY10" i="3"/>
  <c r="AW10" i="3" s="1"/>
  <c r="AQ10" i="3" s="1"/>
  <c r="AX11" i="3"/>
  <c r="AR9" i="3"/>
  <c r="AP9" i="3" s="1"/>
  <c r="AV9" i="3"/>
  <c r="AQ9" i="3"/>
  <c r="X12" i="3"/>
  <c r="Y12" i="3" s="1"/>
  <c r="AB9" i="3"/>
  <c r="AA9" i="3" s="1"/>
  <c r="AI10" i="3"/>
  <c r="W8" i="3"/>
  <c r="U8" i="3" s="1"/>
  <c r="V8" i="3"/>
  <c r="O15" i="4"/>
  <c r="P15" i="4" s="1"/>
  <c r="N16" i="4"/>
  <c r="F55" i="3"/>
  <c r="E56" i="3"/>
  <c r="J81" i="3"/>
  <c r="K80" i="3"/>
  <c r="N80" i="3"/>
  <c r="P79" i="3"/>
  <c r="H54" i="3"/>
  <c r="C54" i="3"/>
  <c r="D54" i="3"/>
  <c r="B54" i="3" s="1"/>
  <c r="H53" i="3"/>
  <c r="D53" i="3"/>
  <c r="B53" i="3" s="1"/>
  <c r="C53" i="3"/>
  <c r="P55" i="3"/>
  <c r="Q55" i="3" s="1"/>
  <c r="I55" i="3" s="1"/>
  <c r="K58" i="3"/>
  <c r="C9" i="3"/>
  <c r="D9" i="3"/>
  <c r="B9" i="3" s="1"/>
  <c r="Q10" i="3"/>
  <c r="I10" i="3" s="1"/>
  <c r="H10" i="3" s="1"/>
  <c r="J12" i="3"/>
  <c r="S12" i="3" s="1"/>
  <c r="K11" i="3"/>
  <c r="N12" i="3"/>
  <c r="AM11" i="3"/>
  <c r="E15" i="3"/>
  <c r="F15" i="3" s="1"/>
  <c r="K32" i="2"/>
  <c r="J33" i="2"/>
  <c r="N85" i="2"/>
  <c r="O84" i="2"/>
  <c r="K80" i="2"/>
  <c r="J81" i="2"/>
  <c r="I27" i="2"/>
  <c r="O25" i="2"/>
  <c r="D24" i="2" s="1"/>
  <c r="N26" i="2"/>
  <c r="I63" i="2"/>
  <c r="K62" i="2"/>
  <c r="O61" i="2"/>
  <c r="H61" i="2" s="1"/>
  <c r="D61" i="2" s="1"/>
  <c r="AX12" i="3" l="1"/>
  <c r="AY11" i="3"/>
  <c r="AT11" i="3"/>
  <c r="AS12" i="3"/>
  <c r="BC11" i="3"/>
  <c r="BD11" i="3" s="1"/>
  <c r="BB12" i="3"/>
  <c r="AC12" i="3"/>
  <c r="AD11" i="3"/>
  <c r="AR10" i="3"/>
  <c r="AP10" i="3" s="1"/>
  <c r="AV10" i="3"/>
  <c r="AG15" i="3"/>
  <c r="AH14" i="3"/>
  <c r="X13" i="3"/>
  <c r="Y13" i="3" s="1"/>
  <c r="AB10" i="3"/>
  <c r="AA10" i="3" s="1"/>
  <c r="AI11" i="3"/>
  <c r="V9" i="3"/>
  <c r="W9" i="3"/>
  <c r="U9" i="3" s="1"/>
  <c r="N17" i="4"/>
  <c r="O16" i="4"/>
  <c r="P16" i="4" s="1"/>
  <c r="F56" i="3"/>
  <c r="E57" i="3"/>
  <c r="N81" i="3"/>
  <c r="P80" i="3"/>
  <c r="J82" i="3"/>
  <c r="K81" i="3"/>
  <c r="Q11" i="3"/>
  <c r="I11" i="3" s="1"/>
  <c r="H11" i="3" s="1"/>
  <c r="H55" i="3"/>
  <c r="D55" i="3"/>
  <c r="B55" i="3" s="1"/>
  <c r="C55" i="3"/>
  <c r="P56" i="3"/>
  <c r="Q56" i="3" s="1"/>
  <c r="I56" i="3" s="1"/>
  <c r="K59" i="3"/>
  <c r="C10" i="3"/>
  <c r="D10" i="3"/>
  <c r="B10" i="3" s="1"/>
  <c r="N13" i="3"/>
  <c r="AM12" i="3"/>
  <c r="J13" i="3"/>
  <c r="S13" i="3" s="1"/>
  <c r="K12" i="3"/>
  <c r="E16" i="3"/>
  <c r="F16" i="3" s="1"/>
  <c r="J34" i="2"/>
  <c r="K33" i="2"/>
  <c r="J82" i="2"/>
  <c r="K81" i="2"/>
  <c r="O85" i="2"/>
  <c r="N86" i="2"/>
  <c r="O26" i="2"/>
  <c r="D25" i="2" s="1"/>
  <c r="N27" i="2"/>
  <c r="I28" i="2"/>
  <c r="K63" i="2"/>
  <c r="I64" i="2"/>
  <c r="O62" i="2"/>
  <c r="H62" i="2" s="1"/>
  <c r="D62" i="2" s="1"/>
  <c r="AG16" i="3" l="1"/>
  <c r="AH15" i="3"/>
  <c r="AD12" i="3"/>
  <c r="AC13" i="3"/>
  <c r="BC12" i="3"/>
  <c r="BD12" i="3" s="1"/>
  <c r="BB13" i="3"/>
  <c r="V10" i="3"/>
  <c r="AT12" i="3"/>
  <c r="AS13" i="3"/>
  <c r="AW11" i="3"/>
  <c r="AX13" i="3"/>
  <c r="AY12" i="3"/>
  <c r="AW12" i="3" s="1"/>
  <c r="X14" i="3"/>
  <c r="Y14" i="3" s="1"/>
  <c r="W10" i="3"/>
  <c r="U10" i="3" s="1"/>
  <c r="AB11" i="3"/>
  <c r="AA11" i="3" s="1"/>
  <c r="AI12" i="3"/>
  <c r="O17" i="4"/>
  <c r="P17" i="4" s="1"/>
  <c r="N18" i="4"/>
  <c r="F57" i="3"/>
  <c r="E58" i="3"/>
  <c r="Q12" i="3"/>
  <c r="I12" i="3" s="1"/>
  <c r="H12" i="3" s="1"/>
  <c r="J83" i="3"/>
  <c r="K82" i="3"/>
  <c r="P81" i="3"/>
  <c r="N82" i="3"/>
  <c r="C56" i="3"/>
  <c r="H56" i="3"/>
  <c r="D56" i="3"/>
  <c r="B56" i="3" s="1"/>
  <c r="P57" i="3"/>
  <c r="Q57" i="3" s="1"/>
  <c r="I57" i="3" s="1"/>
  <c r="K60" i="3"/>
  <c r="C11" i="3"/>
  <c r="D11" i="3"/>
  <c r="B11" i="3" s="1"/>
  <c r="K13" i="3"/>
  <c r="J14" i="3"/>
  <c r="S14" i="3" s="1"/>
  <c r="AM13" i="3"/>
  <c r="N14" i="3"/>
  <c r="E17" i="3"/>
  <c r="F17" i="3" s="1"/>
  <c r="K34" i="2"/>
  <c r="J35" i="2"/>
  <c r="J83" i="2"/>
  <c r="K82" i="2"/>
  <c r="N87" i="2"/>
  <c r="O86" i="2"/>
  <c r="O27" i="2"/>
  <c r="N28" i="2"/>
  <c r="I29" i="2"/>
  <c r="I65" i="2"/>
  <c r="K64" i="2"/>
  <c r="O63" i="2"/>
  <c r="H63" i="2" s="1"/>
  <c r="D63" i="2" s="1"/>
  <c r="AR12" i="3" l="1"/>
  <c r="AP12" i="3" s="1"/>
  <c r="AQ12" i="3"/>
  <c r="AY13" i="3"/>
  <c r="AX14" i="3"/>
  <c r="AQ11" i="3"/>
  <c r="AR11" i="3"/>
  <c r="AP11" i="3" s="1"/>
  <c r="AS14" i="3"/>
  <c r="AT13" i="3"/>
  <c r="BB14" i="3"/>
  <c r="BC13" i="3"/>
  <c r="BD13" i="3" s="1"/>
  <c r="AD13" i="3"/>
  <c r="AC14" i="3"/>
  <c r="AH16" i="3"/>
  <c r="AG17" i="3"/>
  <c r="X15" i="3"/>
  <c r="Y15" i="3" s="1"/>
  <c r="AB12" i="3"/>
  <c r="AA12" i="3" s="1"/>
  <c r="AI13" i="3"/>
  <c r="V11" i="3"/>
  <c r="W11" i="3"/>
  <c r="U11" i="3" s="1"/>
  <c r="O18" i="4"/>
  <c r="P18" i="4" s="1"/>
  <c r="N19" i="4"/>
  <c r="F58" i="3"/>
  <c r="E59" i="3"/>
  <c r="Q13" i="3"/>
  <c r="I13" i="3" s="1"/>
  <c r="H13" i="3" s="1"/>
  <c r="D12" i="3"/>
  <c r="B12" i="3" s="1"/>
  <c r="C12" i="3"/>
  <c r="P82" i="3"/>
  <c r="N83" i="3"/>
  <c r="J84" i="3"/>
  <c r="K83" i="3"/>
  <c r="H57" i="3"/>
  <c r="C57" i="3"/>
  <c r="D57" i="3"/>
  <c r="B57" i="3" s="1"/>
  <c r="P58" i="3"/>
  <c r="Q58" i="3" s="1"/>
  <c r="I58" i="3" s="1"/>
  <c r="K61" i="3"/>
  <c r="E18" i="3"/>
  <c r="F18" i="3" s="1"/>
  <c r="K14" i="3"/>
  <c r="J15" i="3"/>
  <c r="S15" i="3" s="1"/>
  <c r="AM14" i="3"/>
  <c r="N15" i="3"/>
  <c r="K35" i="2"/>
  <c r="J36" i="2"/>
  <c r="J84" i="2"/>
  <c r="K83" i="2"/>
  <c r="O87" i="2"/>
  <c r="N88" i="2"/>
  <c r="I30" i="2"/>
  <c r="N29" i="2"/>
  <c r="O28" i="2"/>
  <c r="D26" i="2"/>
  <c r="E26" i="2"/>
  <c r="C26" i="2" s="1"/>
  <c r="K65" i="2"/>
  <c r="I66" i="2"/>
  <c r="O64" i="2"/>
  <c r="H64" i="2" s="1"/>
  <c r="D64" i="2" s="1"/>
  <c r="AH17" i="3" l="1"/>
  <c r="AG18" i="3"/>
  <c r="AD14" i="3"/>
  <c r="AC15" i="3"/>
  <c r="BC14" i="3"/>
  <c r="BD14" i="3" s="1"/>
  <c r="BB15" i="3"/>
  <c r="AT14" i="3"/>
  <c r="AS15" i="3"/>
  <c r="AY14" i="3"/>
  <c r="AW14" i="3" s="1"/>
  <c r="AX15" i="3"/>
  <c r="AW13" i="3"/>
  <c r="X16" i="3"/>
  <c r="Y16" i="3" s="1"/>
  <c r="AB13" i="3"/>
  <c r="AA13" i="3" s="1"/>
  <c r="AI14" i="3"/>
  <c r="W12" i="3"/>
  <c r="U12" i="3" s="1"/>
  <c r="V12" i="3"/>
  <c r="N20" i="4"/>
  <c r="O19" i="4"/>
  <c r="P19" i="4" s="1"/>
  <c r="F59" i="3"/>
  <c r="E60" i="3"/>
  <c r="Q14" i="3"/>
  <c r="I14" i="3" s="1"/>
  <c r="H14" i="3" s="1"/>
  <c r="K84" i="3"/>
  <c r="J85" i="3"/>
  <c r="N84" i="3"/>
  <c r="P83" i="3"/>
  <c r="C58" i="3"/>
  <c r="H58" i="3"/>
  <c r="D58" i="3"/>
  <c r="B58" i="3" s="1"/>
  <c r="P59" i="3"/>
  <c r="Q59" i="3" s="1"/>
  <c r="I59" i="3" s="1"/>
  <c r="K62" i="3"/>
  <c r="C13" i="3"/>
  <c r="D13" i="3"/>
  <c r="B13" i="3" s="1"/>
  <c r="N16" i="3"/>
  <c r="AM15" i="3"/>
  <c r="J16" i="3"/>
  <c r="S16" i="3" s="1"/>
  <c r="K15" i="3"/>
  <c r="E19" i="3"/>
  <c r="F19" i="3" s="1"/>
  <c r="J37" i="2"/>
  <c r="K36" i="2"/>
  <c r="O88" i="2"/>
  <c r="N89" i="2"/>
  <c r="O89" i="2" s="1"/>
  <c r="J85" i="2"/>
  <c r="K84" i="2"/>
  <c r="D27" i="2"/>
  <c r="E27" i="2"/>
  <c r="C27" i="2" s="1"/>
  <c r="N30" i="2"/>
  <c r="O29" i="2"/>
  <c r="I31" i="2"/>
  <c r="I67" i="2"/>
  <c r="K66" i="2"/>
  <c r="O65" i="2"/>
  <c r="H65" i="2" s="1"/>
  <c r="D65" i="2" s="1"/>
  <c r="AQ13" i="3" l="1"/>
  <c r="AR13" i="3"/>
  <c r="AP13" i="3" s="1"/>
  <c r="AX16" i="3"/>
  <c r="AY15" i="3"/>
  <c r="AQ14" i="3"/>
  <c r="AR14" i="3"/>
  <c r="AP14" i="3" s="1"/>
  <c r="AS16" i="3"/>
  <c r="AT15" i="3"/>
  <c r="BB16" i="3"/>
  <c r="BC15" i="3"/>
  <c r="BD15" i="3" s="1"/>
  <c r="AD15" i="3"/>
  <c r="AC16" i="3"/>
  <c r="AG19" i="3"/>
  <c r="AH18" i="3"/>
  <c r="X17" i="3"/>
  <c r="Y17" i="3" s="1"/>
  <c r="AB14" i="3"/>
  <c r="AA14" i="3" s="1"/>
  <c r="AI15" i="3"/>
  <c r="V13" i="3"/>
  <c r="W13" i="3"/>
  <c r="U13" i="3" s="1"/>
  <c r="N21" i="4"/>
  <c r="O20" i="4"/>
  <c r="P20" i="4" s="1"/>
  <c r="F60" i="3"/>
  <c r="E61" i="3"/>
  <c r="Q15" i="3"/>
  <c r="I15" i="3" s="1"/>
  <c r="H15" i="3" s="1"/>
  <c r="N85" i="3"/>
  <c r="P84" i="3"/>
  <c r="K85" i="3"/>
  <c r="J86" i="3"/>
  <c r="H59" i="3"/>
  <c r="C59" i="3"/>
  <c r="D59" i="3"/>
  <c r="B59" i="3" s="1"/>
  <c r="P60" i="3"/>
  <c r="Q60" i="3" s="1"/>
  <c r="I60" i="3" s="1"/>
  <c r="K63" i="3"/>
  <c r="D14" i="3"/>
  <c r="B14" i="3" s="1"/>
  <c r="C14" i="3"/>
  <c r="E20" i="3"/>
  <c r="F20" i="3" s="1"/>
  <c r="K16" i="3"/>
  <c r="J17" i="3"/>
  <c r="S17" i="3" s="1"/>
  <c r="AM16" i="3"/>
  <c r="N17" i="3"/>
  <c r="I32" i="2"/>
  <c r="K37" i="2"/>
  <c r="J38" i="2"/>
  <c r="K85" i="2"/>
  <c r="J86" i="2"/>
  <c r="D28" i="2"/>
  <c r="E28" i="2"/>
  <c r="C28" i="2" s="1"/>
  <c r="N31" i="2"/>
  <c r="O30" i="2"/>
  <c r="K67" i="2"/>
  <c r="I68" i="2"/>
  <c r="O66" i="2"/>
  <c r="H66" i="2" s="1"/>
  <c r="D66" i="2" s="1"/>
  <c r="AG20" i="3" l="1"/>
  <c r="AH19" i="3"/>
  <c r="AC17" i="3"/>
  <c r="AD16" i="3"/>
  <c r="BB17" i="3"/>
  <c r="BC16" i="3"/>
  <c r="BD16" i="3" s="1"/>
  <c r="AS17" i="3"/>
  <c r="AT16" i="3"/>
  <c r="AW15" i="3"/>
  <c r="AY16" i="3"/>
  <c r="AW16" i="3" s="1"/>
  <c r="AX17" i="3"/>
  <c r="X18" i="3"/>
  <c r="Y18" i="3" s="1"/>
  <c r="AB15" i="3"/>
  <c r="AA15" i="3" s="1"/>
  <c r="AI16" i="3"/>
  <c r="V14" i="3"/>
  <c r="W14" i="3"/>
  <c r="U14" i="3" s="1"/>
  <c r="O21" i="4"/>
  <c r="P21" i="4" s="1"/>
  <c r="N22" i="4"/>
  <c r="F61" i="3"/>
  <c r="E62" i="3"/>
  <c r="Q16" i="3"/>
  <c r="I16" i="3" s="1"/>
  <c r="H16" i="3" s="1"/>
  <c r="J87" i="3"/>
  <c r="K86" i="3"/>
  <c r="P85" i="3"/>
  <c r="N86" i="3"/>
  <c r="D60" i="3"/>
  <c r="B60" i="3" s="1"/>
  <c r="H60" i="3"/>
  <c r="C60" i="3"/>
  <c r="P61" i="3"/>
  <c r="Q61" i="3" s="1"/>
  <c r="I61" i="3" s="1"/>
  <c r="K64" i="3"/>
  <c r="D15" i="3"/>
  <c r="B15" i="3" s="1"/>
  <c r="C15" i="3"/>
  <c r="AM17" i="3"/>
  <c r="N18" i="3"/>
  <c r="J18" i="3"/>
  <c r="S18" i="3" s="1"/>
  <c r="K17" i="3"/>
  <c r="E21" i="3"/>
  <c r="F21" i="3" s="1"/>
  <c r="O31" i="2"/>
  <c r="E30" i="2" s="1"/>
  <c r="C30" i="2" s="1"/>
  <c r="N32" i="2"/>
  <c r="K38" i="2"/>
  <c r="J39" i="2"/>
  <c r="I33" i="2"/>
  <c r="J87" i="2"/>
  <c r="K86" i="2"/>
  <c r="E29" i="2"/>
  <c r="C29" i="2" s="1"/>
  <c r="D29" i="2"/>
  <c r="I69" i="2"/>
  <c r="K68" i="2"/>
  <c r="O67" i="2"/>
  <c r="H67" i="2" s="1"/>
  <c r="D67" i="2" s="1"/>
  <c r="AX18" i="3" l="1"/>
  <c r="AY17" i="3"/>
  <c r="AQ16" i="3"/>
  <c r="AR16" i="3"/>
  <c r="AP16" i="3" s="1"/>
  <c r="AR15" i="3"/>
  <c r="AP15" i="3" s="1"/>
  <c r="AQ15" i="3"/>
  <c r="AT17" i="3"/>
  <c r="AS18" i="3"/>
  <c r="BB18" i="3"/>
  <c r="BC17" i="3"/>
  <c r="BD17" i="3" s="1"/>
  <c r="AD17" i="3"/>
  <c r="AC18" i="3"/>
  <c r="AG21" i="3"/>
  <c r="AH20" i="3"/>
  <c r="X19" i="3"/>
  <c r="Y19" i="3" s="1"/>
  <c r="AB16" i="3"/>
  <c r="AA16" i="3" s="1"/>
  <c r="AI17" i="3"/>
  <c r="W15" i="3"/>
  <c r="U15" i="3" s="1"/>
  <c r="V15" i="3"/>
  <c r="O22" i="4"/>
  <c r="P22" i="4" s="1"/>
  <c r="N23" i="4"/>
  <c r="F62" i="3"/>
  <c r="E63" i="3"/>
  <c r="Q17" i="3"/>
  <c r="I17" i="3" s="1"/>
  <c r="H17" i="3" s="1"/>
  <c r="N87" i="3"/>
  <c r="P86" i="3"/>
  <c r="J88" i="3"/>
  <c r="K87" i="3"/>
  <c r="H61" i="3"/>
  <c r="C61" i="3"/>
  <c r="D61" i="3"/>
  <c r="B61" i="3" s="1"/>
  <c r="P62" i="3"/>
  <c r="Q62" i="3" s="1"/>
  <c r="I62" i="3" s="1"/>
  <c r="K65" i="3"/>
  <c r="D16" i="3"/>
  <c r="B16" i="3" s="1"/>
  <c r="C16" i="3"/>
  <c r="E22" i="3"/>
  <c r="F22" i="3" s="1"/>
  <c r="K18" i="3"/>
  <c r="J19" i="3"/>
  <c r="S19" i="3" s="1"/>
  <c r="N19" i="3"/>
  <c r="AM18" i="3"/>
  <c r="D30" i="2"/>
  <c r="I34" i="2"/>
  <c r="I35" i="2" s="1"/>
  <c r="K39" i="2"/>
  <c r="J40" i="2"/>
  <c r="O32" i="2"/>
  <c r="N33" i="2"/>
  <c r="K87" i="2"/>
  <c r="J88" i="2"/>
  <c r="K69" i="2"/>
  <c r="I70" i="2"/>
  <c r="O68" i="2"/>
  <c r="H68" i="2" s="1"/>
  <c r="D68" i="2" s="1"/>
  <c r="AH21" i="3" l="1"/>
  <c r="AG22" i="3"/>
  <c r="AD18" i="3"/>
  <c r="AC19" i="3"/>
  <c r="BC18" i="3"/>
  <c r="BD18" i="3" s="1"/>
  <c r="BB19" i="3"/>
  <c r="AT18" i="3"/>
  <c r="AS19" i="3"/>
  <c r="AW17" i="3"/>
  <c r="AY18" i="3"/>
  <c r="AW18" i="3" s="1"/>
  <c r="AX19" i="3"/>
  <c r="X20" i="3"/>
  <c r="Y20" i="3" s="1"/>
  <c r="AB17" i="3"/>
  <c r="AA17" i="3" s="1"/>
  <c r="AI18" i="3"/>
  <c r="V16" i="3"/>
  <c r="W16" i="3"/>
  <c r="U16" i="3" s="1"/>
  <c r="N24" i="4"/>
  <c r="O23" i="4"/>
  <c r="P23" i="4" s="1"/>
  <c r="F63" i="3"/>
  <c r="E64" i="3"/>
  <c r="Q18" i="3"/>
  <c r="I18" i="3" s="1"/>
  <c r="H18" i="3" s="1"/>
  <c r="K88" i="3"/>
  <c r="J89" i="3"/>
  <c r="N88" i="3"/>
  <c r="P87" i="3"/>
  <c r="H62" i="3"/>
  <c r="D62" i="3"/>
  <c r="B62" i="3" s="1"/>
  <c r="C62" i="3"/>
  <c r="P63" i="3"/>
  <c r="Q63" i="3" s="1"/>
  <c r="I63" i="3" s="1"/>
  <c r="K66" i="3"/>
  <c r="D17" i="3"/>
  <c r="B17" i="3" s="1"/>
  <c r="C17" i="3"/>
  <c r="N20" i="3"/>
  <c r="AM19" i="3"/>
  <c r="J20" i="3"/>
  <c r="S20" i="3" s="1"/>
  <c r="K19" i="3"/>
  <c r="E23" i="3"/>
  <c r="F23" i="3" s="1"/>
  <c r="N34" i="2"/>
  <c r="O33" i="2"/>
  <c r="E31" i="2"/>
  <c r="C31" i="2" s="1"/>
  <c r="D31" i="2"/>
  <c r="K40" i="2"/>
  <c r="J41" i="2"/>
  <c r="I36" i="2"/>
  <c r="I37" i="2" s="1"/>
  <c r="J89" i="2"/>
  <c r="K89" i="2" s="1"/>
  <c r="K88" i="2"/>
  <c r="I71" i="2"/>
  <c r="K70" i="2"/>
  <c r="O69" i="2"/>
  <c r="H69" i="2" s="1"/>
  <c r="D69" i="2" s="1"/>
  <c r="AX20" i="3" l="1"/>
  <c r="AY19" i="3"/>
  <c r="AQ18" i="3"/>
  <c r="AR18" i="3"/>
  <c r="AP18" i="3" s="1"/>
  <c r="AR17" i="3"/>
  <c r="AP17" i="3" s="1"/>
  <c r="AQ17" i="3"/>
  <c r="AS20" i="3"/>
  <c r="AT19" i="3"/>
  <c r="BC19" i="3"/>
  <c r="BD19" i="3" s="1"/>
  <c r="BB20" i="3"/>
  <c r="AC20" i="3"/>
  <c r="AD19" i="3"/>
  <c r="AH22" i="3"/>
  <c r="AG23" i="3"/>
  <c r="X21" i="3"/>
  <c r="Y21" i="3" s="1"/>
  <c r="AB18" i="3"/>
  <c r="AA18" i="3" s="1"/>
  <c r="AI19" i="3"/>
  <c r="W17" i="3"/>
  <c r="U17" i="3" s="1"/>
  <c r="V17" i="3"/>
  <c r="N25" i="4"/>
  <c r="O24" i="4"/>
  <c r="P24" i="4" s="1"/>
  <c r="F64" i="3"/>
  <c r="E65" i="3"/>
  <c r="Q19" i="3"/>
  <c r="I19" i="3" s="1"/>
  <c r="H19" i="3" s="1"/>
  <c r="P88" i="3"/>
  <c r="N89" i="3"/>
  <c r="J90" i="3"/>
  <c r="K90" i="3" s="1"/>
  <c r="K89" i="3"/>
  <c r="P64" i="3"/>
  <c r="Q64" i="3" s="1"/>
  <c r="I64" i="3" s="1"/>
  <c r="D63" i="3"/>
  <c r="B63" i="3" s="1"/>
  <c r="C63" i="3"/>
  <c r="H63" i="3"/>
  <c r="K67" i="3"/>
  <c r="D18" i="3"/>
  <c r="B18" i="3" s="1"/>
  <c r="C18" i="3"/>
  <c r="E24" i="3"/>
  <c r="F24" i="3" s="1"/>
  <c r="J21" i="3"/>
  <c r="K20" i="3"/>
  <c r="AM20" i="3"/>
  <c r="N21" i="3"/>
  <c r="I38" i="2"/>
  <c r="J42" i="2"/>
  <c r="K41" i="2"/>
  <c r="D32" i="2"/>
  <c r="E32" i="2"/>
  <c r="C32" i="2" s="1"/>
  <c r="O34" i="2"/>
  <c r="N35" i="2"/>
  <c r="K71" i="2"/>
  <c r="I72" i="2"/>
  <c r="AG24" i="3" l="1"/>
  <c r="AH23" i="3"/>
  <c r="AD20" i="3"/>
  <c r="AC21" i="3"/>
  <c r="BB21" i="3"/>
  <c r="BC20" i="3"/>
  <c r="BD20" i="3" s="1"/>
  <c r="AT20" i="3"/>
  <c r="AS21" i="3"/>
  <c r="AW19" i="3"/>
  <c r="AY20" i="3"/>
  <c r="AW20" i="3" s="1"/>
  <c r="AX21" i="3"/>
  <c r="X22" i="3"/>
  <c r="Y22" i="3" s="1"/>
  <c r="W18" i="3"/>
  <c r="U18" i="3" s="1"/>
  <c r="V18" i="3"/>
  <c r="AB19" i="3"/>
  <c r="AA19" i="3" s="1"/>
  <c r="AI20" i="3"/>
  <c r="O25" i="4"/>
  <c r="P25" i="4" s="1"/>
  <c r="N26" i="4"/>
  <c r="F65" i="3"/>
  <c r="E66" i="3"/>
  <c r="Q20" i="3"/>
  <c r="I20" i="3" s="1"/>
  <c r="H20" i="3" s="1"/>
  <c r="N90" i="3"/>
  <c r="P90" i="3" s="1"/>
  <c r="P89" i="3"/>
  <c r="H64" i="3"/>
  <c r="D64" i="3"/>
  <c r="B64" i="3" s="1"/>
  <c r="C64" i="3"/>
  <c r="P65" i="3"/>
  <c r="Q65" i="3" s="1"/>
  <c r="I65" i="3" s="1"/>
  <c r="K68" i="3"/>
  <c r="C19" i="3"/>
  <c r="D19" i="3"/>
  <c r="B19" i="3" s="1"/>
  <c r="E25" i="3"/>
  <c r="F25" i="3" s="1"/>
  <c r="AM21" i="3"/>
  <c r="N22" i="3"/>
  <c r="K21" i="3"/>
  <c r="J22" i="3"/>
  <c r="K42" i="2"/>
  <c r="J43" i="2"/>
  <c r="N36" i="2"/>
  <c r="O35" i="2"/>
  <c r="D33" i="2"/>
  <c r="E33" i="2"/>
  <c r="C33" i="2" s="1"/>
  <c r="I39" i="2"/>
  <c r="O71" i="2"/>
  <c r="H71" i="2" s="1"/>
  <c r="O70" i="2"/>
  <c r="H70" i="2" s="1"/>
  <c r="I73" i="2"/>
  <c r="K72" i="2"/>
  <c r="AS22" i="3" l="1"/>
  <c r="AT21" i="3"/>
  <c r="AY21" i="3"/>
  <c r="AX22" i="3"/>
  <c r="AR20" i="3"/>
  <c r="AP20" i="3" s="1"/>
  <c r="AQ20" i="3"/>
  <c r="AQ19" i="3"/>
  <c r="AR19" i="3"/>
  <c r="AP19" i="3" s="1"/>
  <c r="BC21" i="3"/>
  <c r="BD21" i="3" s="1"/>
  <c r="BB22" i="3"/>
  <c r="AD21" i="3"/>
  <c r="AC22" i="3"/>
  <c r="AH24" i="3"/>
  <c r="AG25" i="3"/>
  <c r="X23" i="3"/>
  <c r="Y23" i="3" s="1"/>
  <c r="AB20" i="3"/>
  <c r="AA20" i="3" s="1"/>
  <c r="AI21" i="3"/>
  <c r="V19" i="3"/>
  <c r="W19" i="3"/>
  <c r="U19" i="3" s="1"/>
  <c r="O26" i="4"/>
  <c r="P26" i="4" s="1"/>
  <c r="N27" i="4"/>
  <c r="F66" i="3"/>
  <c r="E67" i="3"/>
  <c r="Q21" i="3"/>
  <c r="I21" i="3" s="1"/>
  <c r="H21" i="3" s="1"/>
  <c r="D65" i="3"/>
  <c r="B65" i="3" s="1"/>
  <c r="H65" i="3"/>
  <c r="C65" i="3"/>
  <c r="P66" i="3"/>
  <c r="Q66" i="3" s="1"/>
  <c r="I66" i="3" s="1"/>
  <c r="K69" i="3"/>
  <c r="D20" i="3"/>
  <c r="B20" i="3" s="1"/>
  <c r="C20" i="3"/>
  <c r="J23" i="3"/>
  <c r="K22" i="3"/>
  <c r="N23" i="3"/>
  <c r="E26" i="3"/>
  <c r="F26" i="3" s="1"/>
  <c r="K43" i="2"/>
  <c r="J44" i="2"/>
  <c r="I40" i="2"/>
  <c r="D34" i="2"/>
  <c r="E34" i="2"/>
  <c r="C34" i="2" s="1"/>
  <c r="O36" i="2"/>
  <c r="N37" i="2"/>
  <c r="D70" i="2"/>
  <c r="E70" i="2"/>
  <c r="C70" i="2" s="1"/>
  <c r="D71" i="2"/>
  <c r="E71" i="2"/>
  <c r="C71" i="2" s="1"/>
  <c r="O72" i="2"/>
  <c r="H72" i="2" s="1"/>
  <c r="K73" i="2"/>
  <c r="I74" i="2"/>
  <c r="BB23" i="3" l="1"/>
  <c r="BC22" i="3"/>
  <c r="BD22" i="3" s="1"/>
  <c r="AY22" i="3"/>
  <c r="AW22" i="3" s="1"/>
  <c r="AX23" i="3"/>
  <c r="AG26" i="3"/>
  <c r="AH25" i="3"/>
  <c r="AC23" i="3"/>
  <c r="AD22" i="3"/>
  <c r="AW21" i="3"/>
  <c r="AT22" i="3"/>
  <c r="AS23" i="3"/>
  <c r="X24" i="3"/>
  <c r="Y24" i="3" s="1"/>
  <c r="V20" i="3"/>
  <c r="W20" i="3"/>
  <c r="U20" i="3" s="1"/>
  <c r="AB21" i="3"/>
  <c r="AA21" i="3" s="1"/>
  <c r="AI22" i="3"/>
  <c r="N28" i="4"/>
  <c r="O27" i="4"/>
  <c r="P27" i="4" s="1"/>
  <c r="F67" i="3"/>
  <c r="E68" i="3"/>
  <c r="Q22" i="3"/>
  <c r="I22" i="3" s="1"/>
  <c r="H22" i="3" s="1"/>
  <c r="C21" i="3"/>
  <c r="D21" i="3"/>
  <c r="B21" i="3" s="1"/>
  <c r="C66" i="3"/>
  <c r="H66" i="3"/>
  <c r="D66" i="3"/>
  <c r="B66" i="3" s="1"/>
  <c r="P67" i="3"/>
  <c r="Q67" i="3" s="1"/>
  <c r="I67" i="3" s="1"/>
  <c r="K70" i="3"/>
  <c r="E27" i="3"/>
  <c r="F27" i="3" s="1"/>
  <c r="P23" i="3"/>
  <c r="N24" i="3"/>
  <c r="K23" i="3"/>
  <c r="J24" i="3"/>
  <c r="J45" i="2"/>
  <c r="K44" i="2"/>
  <c r="O37" i="2"/>
  <c r="N38" i="2"/>
  <c r="E35" i="2"/>
  <c r="C35" i="2" s="1"/>
  <c r="D35" i="2"/>
  <c r="I41" i="2"/>
  <c r="D72" i="2"/>
  <c r="E72" i="2"/>
  <c r="C72" i="2" s="1"/>
  <c r="O73" i="2"/>
  <c r="H73" i="2" s="1"/>
  <c r="I75" i="2"/>
  <c r="I76" i="2" s="1"/>
  <c r="K75" i="2"/>
  <c r="K74" i="2"/>
  <c r="AD23" i="3" l="1"/>
  <c r="AC24" i="3"/>
  <c r="AT23" i="3"/>
  <c r="AS24" i="3"/>
  <c r="AQ21" i="3"/>
  <c r="AR21" i="3"/>
  <c r="AP21" i="3" s="1"/>
  <c r="AH26" i="3"/>
  <c r="AG27" i="3"/>
  <c r="AY23" i="3"/>
  <c r="AX24" i="3"/>
  <c r="AR22" i="3"/>
  <c r="AP22" i="3" s="1"/>
  <c r="AQ22" i="3"/>
  <c r="BB24" i="3"/>
  <c r="BC23" i="3"/>
  <c r="BD23" i="3" s="1"/>
  <c r="X25" i="3"/>
  <c r="Y25" i="3" s="1"/>
  <c r="AB22" i="3"/>
  <c r="AA22" i="3" s="1"/>
  <c r="AI23" i="3"/>
  <c r="V21" i="3"/>
  <c r="W21" i="3"/>
  <c r="U21" i="3" s="1"/>
  <c r="N29" i="4"/>
  <c r="O28" i="4"/>
  <c r="P28" i="4" s="1"/>
  <c r="F68" i="3"/>
  <c r="E69" i="3"/>
  <c r="Q23" i="3"/>
  <c r="I23" i="3" s="1"/>
  <c r="H23" i="3" s="1"/>
  <c r="P68" i="3"/>
  <c r="Q68" i="3" s="1"/>
  <c r="I68" i="3" s="1"/>
  <c r="H67" i="3"/>
  <c r="C67" i="3"/>
  <c r="D67" i="3"/>
  <c r="B67" i="3" s="1"/>
  <c r="K71" i="3"/>
  <c r="C22" i="3"/>
  <c r="D22" i="3"/>
  <c r="B22" i="3" s="1"/>
  <c r="K24" i="3"/>
  <c r="J25" i="3"/>
  <c r="P24" i="3"/>
  <c r="N25" i="3"/>
  <c r="E28" i="3"/>
  <c r="F28" i="3" s="1"/>
  <c r="J46" i="2"/>
  <c r="K45" i="2"/>
  <c r="I42" i="2"/>
  <c r="O38" i="2"/>
  <c r="N39" i="2"/>
  <c r="D36" i="2"/>
  <c r="E36" i="2"/>
  <c r="C36" i="2" s="1"/>
  <c r="D73" i="2"/>
  <c r="E73" i="2"/>
  <c r="C73" i="2" s="1"/>
  <c r="I77" i="2"/>
  <c r="O74" i="2"/>
  <c r="H74" i="2" s="1"/>
  <c r="AW23" i="3" l="1"/>
  <c r="AH27" i="3"/>
  <c r="AG28" i="3"/>
  <c r="BB25" i="3"/>
  <c r="BC24" i="3"/>
  <c r="BD24" i="3" s="1"/>
  <c r="AX25" i="3"/>
  <c r="AY24" i="3"/>
  <c r="AW24" i="3" s="1"/>
  <c r="AS25" i="3"/>
  <c r="AT24" i="3"/>
  <c r="AD24" i="3"/>
  <c r="AC25" i="3"/>
  <c r="X26" i="3"/>
  <c r="Y26" i="3" s="1"/>
  <c r="AI24" i="3"/>
  <c r="AB23" i="3"/>
  <c r="AA23" i="3" s="1"/>
  <c r="W22" i="3"/>
  <c r="U22" i="3" s="1"/>
  <c r="V22" i="3"/>
  <c r="O29" i="4"/>
  <c r="P29" i="4" s="1"/>
  <c r="N30" i="4"/>
  <c r="F69" i="3"/>
  <c r="E70" i="3"/>
  <c r="C23" i="3"/>
  <c r="D23" i="3"/>
  <c r="B23" i="3" s="1"/>
  <c r="Q24" i="3"/>
  <c r="I24" i="3" s="1"/>
  <c r="H24" i="3" s="1"/>
  <c r="P69" i="3"/>
  <c r="Q69" i="3" s="1"/>
  <c r="I69" i="3" s="1"/>
  <c r="H68" i="3"/>
  <c r="D68" i="3"/>
  <c r="B68" i="3" s="1"/>
  <c r="C68" i="3"/>
  <c r="K72" i="3"/>
  <c r="E29" i="3"/>
  <c r="F29" i="3" s="1"/>
  <c r="P25" i="3"/>
  <c r="N26" i="3"/>
  <c r="K25" i="3"/>
  <c r="J26" i="3"/>
  <c r="I43" i="2"/>
  <c r="K46" i="2"/>
  <c r="O39" i="2"/>
  <c r="N40" i="2"/>
  <c r="E37" i="2"/>
  <c r="C37" i="2" s="1"/>
  <c r="D37" i="2"/>
  <c r="D74" i="2"/>
  <c r="E74" i="2"/>
  <c r="C74" i="2" s="1"/>
  <c r="I78" i="2"/>
  <c r="AC26" i="3" l="1"/>
  <c r="AD25" i="3"/>
  <c r="AS26" i="3"/>
  <c r="AT25" i="3"/>
  <c r="AQ24" i="3"/>
  <c r="AR24" i="3"/>
  <c r="AP24" i="3" s="1"/>
  <c r="AX26" i="3"/>
  <c r="AY25" i="3"/>
  <c r="Q25" i="3"/>
  <c r="I25" i="3" s="1"/>
  <c r="BC25" i="3"/>
  <c r="BD25" i="3" s="1"/>
  <c r="BB26" i="3"/>
  <c r="AH28" i="3"/>
  <c r="AG29" i="3"/>
  <c r="AQ23" i="3"/>
  <c r="AR23" i="3"/>
  <c r="AP23" i="3" s="1"/>
  <c r="X27" i="3"/>
  <c r="Y27" i="3" s="1"/>
  <c r="V23" i="3"/>
  <c r="W23" i="3"/>
  <c r="U23" i="3" s="1"/>
  <c r="AI25" i="3"/>
  <c r="AB24" i="3"/>
  <c r="AA24" i="3" s="1"/>
  <c r="O30" i="4"/>
  <c r="P30" i="4" s="1"/>
  <c r="N31" i="4"/>
  <c r="F70" i="3"/>
  <c r="E71" i="3"/>
  <c r="P70" i="3"/>
  <c r="Q70" i="3" s="1"/>
  <c r="I70" i="3" s="1"/>
  <c r="H69" i="3"/>
  <c r="D69" i="3"/>
  <c r="B69" i="3" s="1"/>
  <c r="C69" i="3"/>
  <c r="K73" i="3"/>
  <c r="C24" i="3"/>
  <c r="D24" i="3"/>
  <c r="B24" i="3" s="1"/>
  <c r="J27" i="3"/>
  <c r="K26" i="3"/>
  <c r="P26" i="3"/>
  <c r="N27" i="3"/>
  <c r="E30" i="3"/>
  <c r="F30" i="3" s="1"/>
  <c r="I44" i="2"/>
  <c r="I45" i="2" s="1"/>
  <c r="I46" i="2" s="1"/>
  <c r="N41" i="2"/>
  <c r="O40" i="2"/>
  <c r="E38" i="2"/>
  <c r="C38" i="2" s="1"/>
  <c r="D38" i="2"/>
  <c r="O75" i="2"/>
  <c r="H75" i="2" s="1"/>
  <c r="I79" i="2"/>
  <c r="H25" i="3" l="1"/>
  <c r="C25" i="3"/>
  <c r="D25" i="3"/>
  <c r="B25" i="3" s="1"/>
  <c r="AG30" i="3"/>
  <c r="AH29" i="3"/>
  <c r="BC26" i="3"/>
  <c r="BD26" i="3" s="1"/>
  <c r="BB27" i="3"/>
  <c r="Q26" i="3"/>
  <c r="I26" i="3" s="1"/>
  <c r="H26" i="3" s="1"/>
  <c r="AW25" i="3"/>
  <c r="AY26" i="3"/>
  <c r="AW26" i="3" s="1"/>
  <c r="AX27" i="3"/>
  <c r="AT26" i="3"/>
  <c r="AS27" i="3"/>
  <c r="AD26" i="3"/>
  <c r="AC27" i="3"/>
  <c r="X28" i="3"/>
  <c r="Y28" i="3" s="1"/>
  <c r="AB25" i="3"/>
  <c r="AA25" i="3" s="1"/>
  <c r="AI26" i="3"/>
  <c r="W24" i="3"/>
  <c r="U24" i="3" s="1"/>
  <c r="V24" i="3"/>
  <c r="N32" i="4"/>
  <c r="O31" i="4"/>
  <c r="P31" i="4" s="1"/>
  <c r="F71" i="3"/>
  <c r="E72" i="3"/>
  <c r="E31" i="3"/>
  <c r="F31" i="3" s="1"/>
  <c r="P71" i="3"/>
  <c r="Q71" i="3" s="1"/>
  <c r="I71" i="3" s="1"/>
  <c r="D70" i="3"/>
  <c r="B70" i="3" s="1"/>
  <c r="H70" i="3"/>
  <c r="C70" i="3"/>
  <c r="K75" i="3"/>
  <c r="K74" i="3"/>
  <c r="P27" i="3"/>
  <c r="N28" i="3"/>
  <c r="J28" i="3"/>
  <c r="K27" i="3"/>
  <c r="D39" i="2"/>
  <c r="E39" i="2"/>
  <c r="C39" i="2" s="1"/>
  <c r="N42" i="2"/>
  <c r="O41" i="2"/>
  <c r="D75" i="2"/>
  <c r="E75" i="2"/>
  <c r="C75" i="2" s="1"/>
  <c r="I80" i="2"/>
  <c r="I81" i="2" s="1"/>
  <c r="O76" i="2"/>
  <c r="H76" i="2" s="1"/>
  <c r="AC28" i="3" l="1"/>
  <c r="AD27" i="3"/>
  <c r="AT27" i="3"/>
  <c r="AS28" i="3"/>
  <c r="AX28" i="3"/>
  <c r="AY27" i="3"/>
  <c r="AR26" i="3"/>
  <c r="AP26" i="3" s="1"/>
  <c r="AQ26" i="3"/>
  <c r="AR25" i="3"/>
  <c r="AP25" i="3" s="1"/>
  <c r="AQ25" i="3"/>
  <c r="BB28" i="3"/>
  <c r="BC27" i="3"/>
  <c r="BD27" i="3" s="1"/>
  <c r="Q27" i="3"/>
  <c r="I27" i="3" s="1"/>
  <c r="AH30" i="3"/>
  <c r="AG31" i="3"/>
  <c r="X29" i="3"/>
  <c r="Y29" i="3" s="1"/>
  <c r="W25" i="3"/>
  <c r="U25" i="3" s="1"/>
  <c r="V25" i="3"/>
  <c r="AI27" i="3"/>
  <c r="AB26" i="3"/>
  <c r="AA26" i="3" s="1"/>
  <c r="N33" i="4"/>
  <c r="O32" i="4"/>
  <c r="P32" i="4" s="1"/>
  <c r="F72" i="3"/>
  <c r="E73" i="3"/>
  <c r="E32" i="3"/>
  <c r="F32" i="3" s="1"/>
  <c r="P72" i="3"/>
  <c r="Q72" i="3" s="1"/>
  <c r="I72" i="3" s="1"/>
  <c r="H71" i="3"/>
  <c r="C71" i="3"/>
  <c r="D71" i="3"/>
  <c r="B71" i="3" s="1"/>
  <c r="D26" i="3"/>
  <c r="B26" i="3" s="1"/>
  <c r="C26" i="3"/>
  <c r="K28" i="3"/>
  <c r="J29" i="3"/>
  <c r="P28" i="3"/>
  <c r="N29" i="3"/>
  <c r="O42" i="2"/>
  <c r="E41" i="2" s="1"/>
  <c r="C41" i="2" s="1"/>
  <c r="N43" i="2"/>
  <c r="D40" i="2"/>
  <c r="E40" i="2"/>
  <c r="C40" i="2" s="1"/>
  <c r="I82" i="2"/>
  <c r="H81" i="2"/>
  <c r="D76" i="2"/>
  <c r="E76" i="2"/>
  <c r="C76" i="2" s="1"/>
  <c r="O77" i="2"/>
  <c r="H77" i="2" s="1"/>
  <c r="H27" i="3" l="1"/>
  <c r="D27" i="3"/>
  <c r="B27" i="3" s="1"/>
  <c r="C27" i="3"/>
  <c r="AH31" i="3"/>
  <c r="AG32" i="3"/>
  <c r="BC28" i="3"/>
  <c r="BD28" i="3" s="1"/>
  <c r="BB29" i="3"/>
  <c r="Q28" i="3"/>
  <c r="I28" i="3" s="1"/>
  <c r="H28" i="3" s="1"/>
  <c r="AW27" i="3"/>
  <c r="AY28" i="3"/>
  <c r="AW28" i="3" s="1"/>
  <c r="AX29" i="3"/>
  <c r="AT28" i="3"/>
  <c r="AS29" i="3"/>
  <c r="AC29" i="3"/>
  <c r="AD28" i="3"/>
  <c r="X30" i="3"/>
  <c r="Y30" i="3" s="1"/>
  <c r="W26" i="3"/>
  <c r="U26" i="3" s="1"/>
  <c r="V26" i="3"/>
  <c r="AB27" i="3"/>
  <c r="AA27" i="3" s="1"/>
  <c r="AI28" i="3"/>
  <c r="O33" i="4"/>
  <c r="P33" i="4" s="1"/>
  <c r="N34" i="4"/>
  <c r="F73" i="3"/>
  <c r="E74" i="3"/>
  <c r="E33" i="3"/>
  <c r="F33" i="3" s="1"/>
  <c r="H72" i="3"/>
  <c r="D72" i="3"/>
  <c r="B72" i="3" s="1"/>
  <c r="C72" i="3"/>
  <c r="P73" i="3"/>
  <c r="Q73" i="3" s="1"/>
  <c r="I73" i="3" s="1"/>
  <c r="P29" i="3"/>
  <c r="N30" i="3"/>
  <c r="K29" i="3"/>
  <c r="J30" i="3"/>
  <c r="D41" i="2"/>
  <c r="O43" i="2"/>
  <c r="N44" i="2"/>
  <c r="D81" i="2"/>
  <c r="E81" i="2"/>
  <c r="C81" i="2" s="1"/>
  <c r="I83" i="2"/>
  <c r="H82" i="2"/>
  <c r="D77" i="2"/>
  <c r="E77" i="2"/>
  <c r="C77" i="2" s="1"/>
  <c r="O78" i="2"/>
  <c r="H78" i="2" s="1"/>
  <c r="AC30" i="3" l="1"/>
  <c r="AD29" i="3"/>
  <c r="AT29" i="3"/>
  <c r="AS30" i="3"/>
  <c r="AY29" i="3"/>
  <c r="AX30" i="3"/>
  <c r="AQ28" i="3"/>
  <c r="AR28" i="3"/>
  <c r="AP28" i="3" s="1"/>
  <c r="AQ27" i="3"/>
  <c r="AR27" i="3"/>
  <c r="AP27" i="3" s="1"/>
  <c r="BC29" i="3"/>
  <c r="BD29" i="3" s="1"/>
  <c r="BB30" i="3"/>
  <c r="K30" i="3"/>
  <c r="J31" i="3"/>
  <c r="AG33" i="3"/>
  <c r="AH32" i="3"/>
  <c r="P30" i="3"/>
  <c r="N31" i="3"/>
  <c r="Q29" i="3"/>
  <c r="I29" i="3" s="1"/>
  <c r="H29" i="3" s="1"/>
  <c r="X31" i="3"/>
  <c r="Y31" i="3" s="1"/>
  <c r="AI29" i="3"/>
  <c r="AB28" i="3"/>
  <c r="AA28" i="3" s="1"/>
  <c r="V27" i="3"/>
  <c r="W27" i="3"/>
  <c r="U27" i="3" s="1"/>
  <c r="O34" i="4"/>
  <c r="P34" i="4" s="1"/>
  <c r="N35" i="4"/>
  <c r="F74" i="3"/>
  <c r="E75" i="3"/>
  <c r="E34" i="3"/>
  <c r="F34" i="3" s="1"/>
  <c r="Q30" i="3"/>
  <c r="P75" i="3"/>
  <c r="P74" i="3"/>
  <c r="Q74" i="3" s="1"/>
  <c r="I74" i="3" s="1"/>
  <c r="D73" i="3"/>
  <c r="B73" i="3" s="1"/>
  <c r="C73" i="3"/>
  <c r="H73" i="3"/>
  <c r="C28" i="3"/>
  <c r="D28" i="3"/>
  <c r="B28" i="3" s="1"/>
  <c r="N45" i="2"/>
  <c r="O44" i="2"/>
  <c r="D42" i="2"/>
  <c r="E42" i="2"/>
  <c r="C42" i="2" s="1"/>
  <c r="E82" i="2"/>
  <c r="C82" i="2" s="1"/>
  <c r="D82" i="2"/>
  <c r="I84" i="2"/>
  <c r="H83" i="2"/>
  <c r="D78" i="2"/>
  <c r="E78" i="2"/>
  <c r="C78" i="2" s="1"/>
  <c r="O79" i="2"/>
  <c r="H79" i="2" s="1"/>
  <c r="O80" i="2"/>
  <c r="H80" i="2" s="1"/>
  <c r="AH33" i="3" l="1"/>
  <c r="AG34" i="3"/>
  <c r="K31" i="3"/>
  <c r="J32" i="3"/>
  <c r="BC30" i="3"/>
  <c r="BD30" i="3" s="1"/>
  <c r="BB31" i="3"/>
  <c r="AY30" i="3"/>
  <c r="AW30" i="3" s="1"/>
  <c r="AX31" i="3"/>
  <c r="AW29" i="3"/>
  <c r="AT30" i="3"/>
  <c r="AS31" i="3"/>
  <c r="N32" i="3"/>
  <c r="P31" i="3"/>
  <c r="Q31" i="3" s="1"/>
  <c r="I31" i="3" s="1"/>
  <c r="H31" i="3" s="1"/>
  <c r="AC31" i="3"/>
  <c r="AD30" i="3"/>
  <c r="X32" i="3"/>
  <c r="Y32" i="3" s="1"/>
  <c r="AB29" i="3"/>
  <c r="AA29" i="3" s="1"/>
  <c r="AI30" i="3"/>
  <c r="V28" i="3"/>
  <c r="W28" i="3"/>
  <c r="U28" i="3" s="1"/>
  <c r="O35" i="4"/>
  <c r="P35" i="4" s="1"/>
  <c r="N36" i="4"/>
  <c r="O36" i="4" s="1"/>
  <c r="F75" i="3"/>
  <c r="E76" i="3"/>
  <c r="E35" i="3"/>
  <c r="F35" i="3" s="1"/>
  <c r="I30" i="3"/>
  <c r="H30" i="3" s="1"/>
  <c r="C29" i="3"/>
  <c r="D29" i="3"/>
  <c r="B29" i="3" s="1"/>
  <c r="D74" i="3"/>
  <c r="B74" i="3" s="1"/>
  <c r="C74" i="3"/>
  <c r="H74" i="3"/>
  <c r="Q75" i="3"/>
  <c r="E43" i="2"/>
  <c r="C43" i="2" s="1"/>
  <c r="D43" i="2"/>
  <c r="N46" i="2"/>
  <c r="O45" i="2"/>
  <c r="D83" i="2"/>
  <c r="E83" i="2"/>
  <c r="C83" i="2" s="1"/>
  <c r="I85" i="2"/>
  <c r="H84" i="2"/>
  <c r="D80" i="2"/>
  <c r="E80" i="2"/>
  <c r="C80" i="2" s="1"/>
  <c r="D79" i="2"/>
  <c r="E79" i="2"/>
  <c r="C79" i="2" s="1"/>
  <c r="AD31" i="3" l="1"/>
  <c r="AC32" i="3"/>
  <c r="N33" i="3"/>
  <c r="P32" i="3"/>
  <c r="Q32" i="3" s="1"/>
  <c r="I32" i="3" s="1"/>
  <c r="H32" i="3" s="1"/>
  <c r="AS32" i="3"/>
  <c r="AT31" i="3"/>
  <c r="C30" i="3"/>
  <c r="AQ29" i="3"/>
  <c r="AR29" i="3"/>
  <c r="AP29" i="3" s="1"/>
  <c r="D30" i="3"/>
  <c r="B30" i="3" s="1"/>
  <c r="AX32" i="3"/>
  <c r="AY31" i="3"/>
  <c r="AR30" i="3"/>
  <c r="AP30" i="3" s="1"/>
  <c r="AQ30" i="3"/>
  <c r="BB32" i="3"/>
  <c r="BC31" i="3"/>
  <c r="BD31" i="3" s="1"/>
  <c r="K32" i="3"/>
  <c r="J33" i="3"/>
  <c r="AH34" i="3"/>
  <c r="AG35" i="3"/>
  <c r="X33" i="3"/>
  <c r="Y33" i="3" s="1"/>
  <c r="AB30" i="3"/>
  <c r="AA30" i="3" s="1"/>
  <c r="AI31" i="3"/>
  <c r="W29" i="3"/>
  <c r="U29" i="3" s="1"/>
  <c r="V29" i="3"/>
  <c r="P36" i="4"/>
  <c r="F76" i="3"/>
  <c r="E77" i="3"/>
  <c r="E36" i="3"/>
  <c r="F36" i="3" s="1"/>
  <c r="D31" i="3"/>
  <c r="B31" i="3" s="1"/>
  <c r="C31" i="3"/>
  <c r="I75" i="3"/>
  <c r="Q76" i="3"/>
  <c r="H75" i="3"/>
  <c r="D75" i="3"/>
  <c r="B75" i="3" s="1"/>
  <c r="C75" i="3"/>
  <c r="E44" i="2"/>
  <c r="C44" i="2" s="1"/>
  <c r="D44" i="2"/>
  <c r="O46" i="2"/>
  <c r="E84" i="2"/>
  <c r="C84" i="2" s="1"/>
  <c r="D84" i="2"/>
  <c r="I86" i="2"/>
  <c r="H85" i="2"/>
  <c r="BC32" i="3" l="1"/>
  <c r="BD32" i="3" s="1"/>
  <c r="BB33" i="3"/>
  <c r="AW31" i="3"/>
  <c r="AR31" i="3" s="1"/>
  <c r="AP31" i="3" s="1"/>
  <c r="AY32" i="3"/>
  <c r="AW32" i="3" s="1"/>
  <c r="AX33" i="3"/>
  <c r="AQ31" i="3"/>
  <c r="AT32" i="3"/>
  <c r="AQ32" i="3" s="1"/>
  <c r="AS33" i="3"/>
  <c r="AG36" i="3"/>
  <c r="AH35" i="3"/>
  <c r="P33" i="3"/>
  <c r="Q33" i="3" s="1"/>
  <c r="N34" i="3"/>
  <c r="K33" i="3"/>
  <c r="J34" i="3"/>
  <c r="AC33" i="3"/>
  <c r="AD32" i="3"/>
  <c r="X34" i="3"/>
  <c r="Y34" i="3" s="1"/>
  <c r="AI32" i="3"/>
  <c r="AB31" i="3"/>
  <c r="AA31" i="3" s="1"/>
  <c r="W30" i="3"/>
  <c r="U30" i="3" s="1"/>
  <c r="V30" i="3"/>
  <c r="F77" i="3"/>
  <c r="E78" i="3"/>
  <c r="E37" i="3"/>
  <c r="F37" i="3" s="1"/>
  <c r="C32" i="3"/>
  <c r="D32" i="3"/>
  <c r="B32" i="3" s="1"/>
  <c r="I33" i="3"/>
  <c r="H33" i="3" s="1"/>
  <c r="I76" i="3"/>
  <c r="Q77" i="3"/>
  <c r="D46" i="2"/>
  <c r="E46" i="2"/>
  <c r="C46" i="2" s="1"/>
  <c r="D45" i="2"/>
  <c r="E45" i="2"/>
  <c r="C45" i="2" s="1"/>
  <c r="D85" i="2"/>
  <c r="E85" i="2"/>
  <c r="C85" i="2" s="1"/>
  <c r="I87" i="2"/>
  <c r="H86" i="2"/>
  <c r="AD33" i="3" l="1"/>
  <c r="AC34" i="3"/>
  <c r="J35" i="3"/>
  <c r="K34" i="3"/>
  <c r="N35" i="3"/>
  <c r="P34" i="3"/>
  <c r="Q34" i="3" s="1"/>
  <c r="I34" i="3" s="1"/>
  <c r="H34" i="3" s="1"/>
  <c r="AH36" i="3"/>
  <c r="AG37" i="3"/>
  <c r="AT33" i="3"/>
  <c r="AS34" i="3"/>
  <c r="AY33" i="3"/>
  <c r="AX34" i="3"/>
  <c r="AR32" i="3"/>
  <c r="AP32" i="3" s="1"/>
  <c r="BB34" i="3"/>
  <c r="BC33" i="3"/>
  <c r="BD33" i="3" s="1"/>
  <c r="X35" i="3"/>
  <c r="Y35" i="3" s="1"/>
  <c r="V31" i="3"/>
  <c r="W31" i="3"/>
  <c r="U31" i="3" s="1"/>
  <c r="AI33" i="3"/>
  <c r="AB32" i="3"/>
  <c r="AA32" i="3" s="1"/>
  <c r="F78" i="3"/>
  <c r="E79" i="3"/>
  <c r="E38" i="3"/>
  <c r="F38" i="3" s="1"/>
  <c r="D33" i="3"/>
  <c r="B33" i="3" s="1"/>
  <c r="C33" i="3"/>
  <c r="I77" i="3"/>
  <c r="Q78" i="3"/>
  <c r="H76" i="3"/>
  <c r="C76" i="3"/>
  <c r="D76" i="3"/>
  <c r="B76" i="3" s="1"/>
  <c r="D86" i="2"/>
  <c r="E86" i="2"/>
  <c r="C86" i="2" s="1"/>
  <c r="I88" i="2"/>
  <c r="H87" i="2"/>
  <c r="BB35" i="3" l="1"/>
  <c r="BC34" i="3"/>
  <c r="BD34" i="3" s="1"/>
  <c r="AX35" i="3"/>
  <c r="AY34" i="3"/>
  <c r="AW34" i="3" s="1"/>
  <c r="AW33" i="3"/>
  <c r="AS35" i="3"/>
  <c r="AT34" i="3"/>
  <c r="AG38" i="3"/>
  <c r="AH37" i="3"/>
  <c r="P35" i="3"/>
  <c r="Q35" i="3" s="1"/>
  <c r="N36" i="3"/>
  <c r="J36" i="3"/>
  <c r="K35" i="3"/>
  <c r="AD34" i="3"/>
  <c r="AC35" i="3"/>
  <c r="X36" i="3"/>
  <c r="Y36" i="3" s="1"/>
  <c r="V32" i="3"/>
  <c r="W32" i="3"/>
  <c r="U32" i="3" s="1"/>
  <c r="AB33" i="3"/>
  <c r="AA33" i="3" s="1"/>
  <c r="AI34" i="3"/>
  <c r="F79" i="3"/>
  <c r="E80" i="3"/>
  <c r="E39" i="3"/>
  <c r="F39" i="3" s="1"/>
  <c r="C34" i="3"/>
  <c r="D34" i="3"/>
  <c r="B34" i="3" s="1"/>
  <c r="I78" i="3"/>
  <c r="Q79" i="3"/>
  <c r="H77" i="3"/>
  <c r="C77" i="3"/>
  <c r="D77" i="3"/>
  <c r="B77" i="3" s="1"/>
  <c r="D87" i="2"/>
  <c r="E87" i="2"/>
  <c r="C87" i="2" s="1"/>
  <c r="I89" i="2"/>
  <c r="H89" i="2" s="1"/>
  <c r="H88" i="2"/>
  <c r="I35" i="3" l="1"/>
  <c r="H35" i="3" s="1"/>
  <c r="AC36" i="3"/>
  <c r="AD35" i="3"/>
  <c r="K36" i="3"/>
  <c r="J37" i="3"/>
  <c r="N37" i="3"/>
  <c r="P36" i="3"/>
  <c r="Q36" i="3" s="1"/>
  <c r="AH38" i="3"/>
  <c r="AG39" i="3"/>
  <c r="AS36" i="3"/>
  <c r="AT35" i="3"/>
  <c r="AQ33" i="3"/>
  <c r="AR33" i="3"/>
  <c r="AP33" i="3" s="1"/>
  <c r="AQ34" i="3"/>
  <c r="AR34" i="3"/>
  <c r="AP34" i="3" s="1"/>
  <c r="AX36" i="3"/>
  <c r="AY35" i="3"/>
  <c r="AW35" i="3" s="1"/>
  <c r="BC35" i="3"/>
  <c r="BD35" i="3" s="1"/>
  <c r="BB36" i="3"/>
  <c r="X37" i="3"/>
  <c r="Y37" i="3" s="1"/>
  <c r="AI35" i="3"/>
  <c r="AB34" i="3"/>
  <c r="AA34" i="3" s="1"/>
  <c r="W33" i="3"/>
  <c r="U33" i="3" s="1"/>
  <c r="V33" i="3"/>
  <c r="F80" i="3"/>
  <c r="E81" i="3"/>
  <c r="E40" i="3"/>
  <c r="F40" i="3" s="1"/>
  <c r="D35" i="3"/>
  <c r="B35" i="3" s="1"/>
  <c r="C35" i="3"/>
  <c r="I79" i="3"/>
  <c r="Q80" i="3"/>
  <c r="H78" i="3"/>
  <c r="C78" i="3"/>
  <c r="D78" i="3"/>
  <c r="B78" i="3" s="1"/>
  <c r="D88" i="2"/>
  <c r="E88" i="2"/>
  <c r="C88" i="2" s="1"/>
  <c r="D89" i="2"/>
  <c r="E89" i="2"/>
  <c r="C89" i="2" s="1"/>
  <c r="I36" i="3" l="1"/>
  <c r="H36" i="3" s="1"/>
  <c r="AQ35" i="3"/>
  <c r="AR35" i="3"/>
  <c r="AP35" i="3" s="1"/>
  <c r="AY36" i="3"/>
  <c r="AX37" i="3"/>
  <c r="AT36" i="3"/>
  <c r="AS37" i="3"/>
  <c r="AG40" i="3"/>
  <c r="AH39" i="3"/>
  <c r="P37" i="3"/>
  <c r="Q37" i="3" s="1"/>
  <c r="I37" i="3" s="1"/>
  <c r="H37" i="3" s="1"/>
  <c r="N38" i="3"/>
  <c r="K37" i="3"/>
  <c r="J38" i="3"/>
  <c r="BB37" i="3"/>
  <c r="BC36" i="3"/>
  <c r="BD36" i="3" s="1"/>
  <c r="AD36" i="3"/>
  <c r="AC37" i="3"/>
  <c r="X38" i="3"/>
  <c r="Y38" i="3" s="1"/>
  <c r="AB35" i="3"/>
  <c r="AA35" i="3" s="1"/>
  <c r="AI36" i="3"/>
  <c r="W34" i="3"/>
  <c r="U34" i="3" s="1"/>
  <c r="V34" i="3"/>
  <c r="F81" i="3"/>
  <c r="E82" i="3"/>
  <c r="E41" i="3"/>
  <c r="F41" i="3" s="1"/>
  <c r="C36" i="3"/>
  <c r="D36" i="3"/>
  <c r="B36" i="3" s="1"/>
  <c r="I80" i="3"/>
  <c r="Q81" i="3"/>
  <c r="H79" i="3"/>
  <c r="C79" i="3"/>
  <c r="D79" i="3"/>
  <c r="B79" i="3" s="1"/>
  <c r="AC38" i="3" l="1"/>
  <c r="AD37" i="3"/>
  <c r="BC37" i="3"/>
  <c r="BD37" i="3" s="1"/>
  <c r="BB38" i="3"/>
  <c r="J39" i="3"/>
  <c r="K38" i="3"/>
  <c r="N39" i="3"/>
  <c r="P38" i="3"/>
  <c r="Q38" i="3" s="1"/>
  <c r="AH40" i="3"/>
  <c r="AG41" i="3"/>
  <c r="AS38" i="3"/>
  <c r="AT37" i="3"/>
  <c r="AY37" i="3"/>
  <c r="AW37" i="3" s="1"/>
  <c r="AX38" i="3"/>
  <c r="AW36" i="3"/>
  <c r="X39" i="3"/>
  <c r="Y39" i="3" s="1"/>
  <c r="V35" i="3"/>
  <c r="W35" i="3"/>
  <c r="U35" i="3" s="1"/>
  <c r="AI37" i="3"/>
  <c r="AB36" i="3"/>
  <c r="AA36" i="3" s="1"/>
  <c r="F82" i="3"/>
  <c r="E83" i="3"/>
  <c r="E42" i="3"/>
  <c r="F42" i="3" s="1"/>
  <c r="D37" i="3"/>
  <c r="B37" i="3" s="1"/>
  <c r="C37" i="3"/>
  <c r="I38" i="3"/>
  <c r="H38" i="3" s="1"/>
  <c r="I81" i="3"/>
  <c r="Q82" i="3"/>
  <c r="H80" i="3"/>
  <c r="C80" i="3"/>
  <c r="D80" i="3"/>
  <c r="B80" i="3" s="1"/>
  <c r="AQ36" i="3" l="1"/>
  <c r="AR36" i="3"/>
  <c r="AP36" i="3" s="1"/>
  <c r="AY38" i="3"/>
  <c r="AX39" i="3"/>
  <c r="AT38" i="3"/>
  <c r="AS39" i="3"/>
  <c r="J40" i="3"/>
  <c r="K39" i="3"/>
  <c r="BC38" i="3"/>
  <c r="BD38" i="3" s="1"/>
  <c r="BB39" i="3"/>
  <c r="AQ37" i="3"/>
  <c r="AR37" i="3"/>
  <c r="AP37" i="3" s="1"/>
  <c r="AG42" i="3"/>
  <c r="AH41" i="3"/>
  <c r="P39" i="3"/>
  <c r="Q39" i="3" s="1"/>
  <c r="I39" i="3" s="1"/>
  <c r="H39" i="3" s="1"/>
  <c r="N40" i="3"/>
  <c r="AC39" i="3"/>
  <c r="AD38" i="3"/>
  <c r="X40" i="3"/>
  <c r="Y40" i="3" s="1"/>
  <c r="V36" i="3"/>
  <c r="W36" i="3"/>
  <c r="U36" i="3" s="1"/>
  <c r="AB37" i="3"/>
  <c r="AA37" i="3" s="1"/>
  <c r="AI38" i="3"/>
  <c r="F83" i="3"/>
  <c r="E84" i="3"/>
  <c r="E43" i="3"/>
  <c r="F43" i="3" s="1"/>
  <c r="C38" i="3"/>
  <c r="D38" i="3"/>
  <c r="B38" i="3" s="1"/>
  <c r="I82" i="3"/>
  <c r="Q83" i="3"/>
  <c r="H81" i="3"/>
  <c r="C81" i="3"/>
  <c r="D81" i="3"/>
  <c r="B81" i="3" s="1"/>
  <c r="BC39" i="3" l="1"/>
  <c r="BD39" i="3" s="1"/>
  <c r="BB40" i="3"/>
  <c r="N41" i="3"/>
  <c r="P40" i="3"/>
  <c r="Q40" i="3" s="1"/>
  <c r="AH42" i="3"/>
  <c r="AG43" i="3"/>
  <c r="K40" i="3"/>
  <c r="J41" i="3"/>
  <c r="AT39" i="3"/>
  <c r="AS40" i="3"/>
  <c r="AX40" i="3"/>
  <c r="AY39" i="3"/>
  <c r="AW39" i="3" s="1"/>
  <c r="AW38" i="3"/>
  <c r="AD39" i="3"/>
  <c r="AC40" i="3"/>
  <c r="X41" i="3"/>
  <c r="Y41" i="3" s="1"/>
  <c r="AI39" i="3"/>
  <c r="AB38" i="3"/>
  <c r="AA38" i="3" s="1"/>
  <c r="W37" i="3"/>
  <c r="U37" i="3" s="1"/>
  <c r="V37" i="3"/>
  <c r="F84" i="3"/>
  <c r="E85" i="3"/>
  <c r="E44" i="3"/>
  <c r="F44" i="3" s="1"/>
  <c r="I40" i="3"/>
  <c r="H40" i="3" s="1"/>
  <c r="C39" i="3"/>
  <c r="D39" i="3"/>
  <c r="B39" i="3" s="1"/>
  <c r="I83" i="3"/>
  <c r="Q84" i="3"/>
  <c r="H82" i="3"/>
  <c r="C82" i="3"/>
  <c r="D82" i="3"/>
  <c r="B82" i="3" s="1"/>
  <c r="AC41" i="3" l="1"/>
  <c r="AD40" i="3"/>
  <c r="AR38" i="3"/>
  <c r="AP38" i="3" s="1"/>
  <c r="AQ38" i="3"/>
  <c r="AQ39" i="3"/>
  <c r="AR39" i="3"/>
  <c r="AP39" i="3" s="1"/>
  <c r="AX41" i="3"/>
  <c r="AY40" i="3"/>
  <c r="AW40" i="3" s="1"/>
  <c r="AT40" i="3"/>
  <c r="AS41" i="3"/>
  <c r="K41" i="3"/>
  <c r="J42" i="3"/>
  <c r="AG44" i="3"/>
  <c r="AH43" i="3"/>
  <c r="P41" i="3"/>
  <c r="Q41" i="3" s="1"/>
  <c r="I41" i="3" s="1"/>
  <c r="H41" i="3" s="1"/>
  <c r="N42" i="3"/>
  <c r="BC40" i="3"/>
  <c r="BD40" i="3" s="1"/>
  <c r="BB41" i="3"/>
  <c r="X42" i="3"/>
  <c r="Y42" i="3" s="1"/>
  <c r="V38" i="3"/>
  <c r="W38" i="3"/>
  <c r="U38" i="3" s="1"/>
  <c r="AI40" i="3"/>
  <c r="AB39" i="3"/>
  <c r="AA39" i="3" s="1"/>
  <c r="F85" i="3"/>
  <c r="E86" i="3"/>
  <c r="E45" i="3"/>
  <c r="F45" i="3" s="1"/>
  <c r="C40" i="3"/>
  <c r="D40" i="3"/>
  <c r="B40" i="3" s="1"/>
  <c r="I84" i="3"/>
  <c r="Q85" i="3"/>
  <c r="H83" i="3"/>
  <c r="C83" i="3"/>
  <c r="D83" i="3"/>
  <c r="B83" i="3" s="1"/>
  <c r="N43" i="3" l="1"/>
  <c r="P42" i="3"/>
  <c r="Q42" i="3" s="1"/>
  <c r="AH44" i="3"/>
  <c r="AG45" i="3"/>
  <c r="AH45" i="3" s="1"/>
  <c r="J43" i="3"/>
  <c r="K42" i="3"/>
  <c r="AT41" i="3"/>
  <c r="AS42" i="3"/>
  <c r="AQ40" i="3"/>
  <c r="AR40" i="3"/>
  <c r="AP40" i="3" s="1"/>
  <c r="AX42" i="3"/>
  <c r="AY41" i="3"/>
  <c r="BC41" i="3"/>
  <c r="BD41" i="3" s="1"/>
  <c r="BB42" i="3"/>
  <c r="AC42" i="3"/>
  <c r="AD41" i="3"/>
  <c r="X43" i="3"/>
  <c r="Y43" i="3" s="1"/>
  <c r="V39" i="3"/>
  <c r="W39" i="3"/>
  <c r="U39" i="3" s="1"/>
  <c r="AI41" i="3"/>
  <c r="AB40" i="3"/>
  <c r="AA40" i="3" s="1"/>
  <c r="F86" i="3"/>
  <c r="E87" i="3"/>
  <c r="I42" i="3"/>
  <c r="H42" i="3" s="1"/>
  <c r="C41" i="3"/>
  <c r="D41" i="3"/>
  <c r="B41" i="3" s="1"/>
  <c r="I85" i="3"/>
  <c r="Q86" i="3"/>
  <c r="H84" i="3"/>
  <c r="D84" i="3"/>
  <c r="B84" i="3" s="1"/>
  <c r="C84" i="3"/>
  <c r="AD42" i="3" l="1"/>
  <c r="AC43" i="3"/>
  <c r="BB43" i="3"/>
  <c r="BC42" i="3"/>
  <c r="BD42" i="3" s="1"/>
  <c r="AW41" i="3"/>
  <c r="AY42" i="3"/>
  <c r="AW42" i="3" s="1"/>
  <c r="AX43" i="3"/>
  <c r="AS43" i="3"/>
  <c r="AT42" i="3"/>
  <c r="J44" i="3"/>
  <c r="K43" i="3"/>
  <c r="P43" i="3"/>
  <c r="Q43" i="3" s="1"/>
  <c r="N44" i="3"/>
  <c r="X44" i="3"/>
  <c r="Y44" i="3" s="1"/>
  <c r="V40" i="3"/>
  <c r="W40" i="3"/>
  <c r="U40" i="3" s="1"/>
  <c r="AB41" i="3"/>
  <c r="AA41" i="3" s="1"/>
  <c r="AI42" i="3"/>
  <c r="F87" i="3"/>
  <c r="E88" i="3"/>
  <c r="C42" i="3"/>
  <c r="D42" i="3"/>
  <c r="B42" i="3" s="1"/>
  <c r="I86" i="3"/>
  <c r="Q87" i="3"/>
  <c r="H85" i="3"/>
  <c r="C85" i="3"/>
  <c r="D85" i="3"/>
  <c r="B85" i="3" s="1"/>
  <c r="I43" i="3" l="1"/>
  <c r="H43" i="3" s="1"/>
  <c r="N45" i="3"/>
  <c r="P45" i="3" s="1"/>
  <c r="P44" i="3"/>
  <c r="Q44" i="3" s="1"/>
  <c r="K44" i="3"/>
  <c r="J45" i="3"/>
  <c r="K45" i="3" s="1"/>
  <c r="AS44" i="3"/>
  <c r="AT43" i="3"/>
  <c r="AX44" i="3"/>
  <c r="AY43" i="3"/>
  <c r="AQ42" i="3"/>
  <c r="AR42" i="3"/>
  <c r="AP42" i="3" s="1"/>
  <c r="AQ41" i="3"/>
  <c r="AR41" i="3"/>
  <c r="AP41" i="3" s="1"/>
  <c r="BC43" i="3"/>
  <c r="BD43" i="3" s="1"/>
  <c r="BB44" i="3"/>
  <c r="AC44" i="3"/>
  <c r="AD43" i="3"/>
  <c r="X45" i="3"/>
  <c r="Y45" i="3" s="1"/>
  <c r="AI43" i="3"/>
  <c r="AB42" i="3"/>
  <c r="AA42" i="3" s="1"/>
  <c r="W41" i="3"/>
  <c r="U41" i="3" s="1"/>
  <c r="V41" i="3"/>
  <c r="F88" i="3"/>
  <c r="E89" i="3"/>
  <c r="C43" i="3"/>
  <c r="D43" i="3"/>
  <c r="B43" i="3" s="1"/>
  <c r="Q45" i="3"/>
  <c r="I45" i="3" s="1"/>
  <c r="H45" i="3" s="1"/>
  <c r="I44" i="3"/>
  <c r="H44" i="3" s="1"/>
  <c r="I87" i="3"/>
  <c r="Q88" i="3"/>
  <c r="H86" i="3"/>
  <c r="C86" i="3"/>
  <c r="D86" i="3"/>
  <c r="B86" i="3" s="1"/>
  <c r="AD44" i="3" l="1"/>
  <c r="AC45" i="3"/>
  <c r="AD45" i="3" s="1"/>
  <c r="BC44" i="3"/>
  <c r="BD44" i="3" s="1"/>
  <c r="BB45" i="3"/>
  <c r="BC45" i="3" s="1"/>
  <c r="BD45" i="3" s="1"/>
  <c r="AW43" i="3"/>
  <c r="AY44" i="3"/>
  <c r="AW44" i="3" s="1"/>
  <c r="AX45" i="3"/>
  <c r="AY45" i="3" s="1"/>
  <c r="AW45" i="3" s="1"/>
  <c r="AS45" i="3"/>
  <c r="AT45" i="3" s="1"/>
  <c r="AT44" i="3"/>
  <c r="AB43" i="3"/>
  <c r="AA43" i="3" s="1"/>
  <c r="AI44" i="3"/>
  <c r="V42" i="3"/>
  <c r="W42" i="3"/>
  <c r="U42" i="3" s="1"/>
  <c r="F89" i="3"/>
  <c r="E90" i="3"/>
  <c r="F90" i="3" s="1"/>
  <c r="C44" i="3"/>
  <c r="D44" i="3"/>
  <c r="B44" i="3" s="1"/>
  <c r="D45" i="3"/>
  <c r="B45" i="3" s="1"/>
  <c r="C45" i="3"/>
  <c r="I88" i="3"/>
  <c r="Q89" i="3"/>
  <c r="H87" i="3"/>
  <c r="C87" i="3"/>
  <c r="D87" i="3"/>
  <c r="B87" i="3" s="1"/>
  <c r="AQ45" i="3" l="1"/>
  <c r="AR45" i="3"/>
  <c r="AP45" i="3" s="1"/>
  <c r="AQ44" i="3"/>
  <c r="AR44" i="3"/>
  <c r="AP44" i="3" s="1"/>
  <c r="AR43" i="3"/>
  <c r="AP43" i="3" s="1"/>
  <c r="AQ43" i="3"/>
  <c r="W43" i="3"/>
  <c r="U43" i="3" s="1"/>
  <c r="V43" i="3"/>
  <c r="AI45" i="3"/>
  <c r="AB45" i="3" s="1"/>
  <c r="AA45" i="3" s="1"/>
  <c r="AB44" i="3"/>
  <c r="AA44" i="3" s="1"/>
  <c r="I89" i="3"/>
  <c r="Q90" i="3"/>
  <c r="I90" i="3" s="1"/>
  <c r="H88" i="3"/>
  <c r="D88" i="3"/>
  <c r="B88" i="3" s="1"/>
  <c r="C88" i="3"/>
  <c r="V44" i="3" l="1"/>
  <c r="W44" i="3"/>
  <c r="U44" i="3" s="1"/>
  <c r="W45" i="3"/>
  <c r="U45" i="3" s="1"/>
  <c r="V45" i="3"/>
  <c r="C90" i="3"/>
  <c r="D90" i="3"/>
  <c r="B90" i="3" s="1"/>
  <c r="H90" i="3"/>
  <c r="C89" i="3"/>
  <c r="D89" i="3"/>
  <c r="B89" i="3" s="1"/>
  <c r="H89" i="3"/>
</calcChain>
</file>

<file path=xl/sharedStrings.xml><?xml version="1.0" encoding="utf-8"?>
<sst xmlns="http://schemas.openxmlformats.org/spreadsheetml/2006/main" count="464" uniqueCount="336">
  <si>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</si>
  <si>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</si>
  <si>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</si>
  <si>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</si>
  <si>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</si>
  <si>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</si>
  <si>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</si>
  <si>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</si>
  <si>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</si>
  <si>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</si>
  <si>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</si>
  <si>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</si>
  <si>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</si>
  <si>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</si>
  <si>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</si>
  <si>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</si>
  <si>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</si>
  <si>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</si>
  <si>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</si>
  <si>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</si>
  <si>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</si>
  <si>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</si>
  <si>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</si>
  <si>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</si>
  <si>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</si>
  <si>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</si>
  <si>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</si>
  <si>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</si>
  <si>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</si>
  <si>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</si>
  <si>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</si>
  <si>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</si>
  <si>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</si>
  <si>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</si>
  <si>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</si>
  <si>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</si>
  <si>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</si>
  <si>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</si>
  <si>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</si>
  <si>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</si>
  <si>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</si>
  <si>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</si>
  <si>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</si>
  <si>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</si>
  <si>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</si>
  <si>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</si>
  <si>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</si>
  <si>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</si>
  <si>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</si>
  <si>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</si>
  <si>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</si>
  <si>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</si>
  <si>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</si>
  <si>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</si>
  <si>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</si>
  <si>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</si>
  <si>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</si>
  <si>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</si>
  <si>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</si>
  <si>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</si>
  <si>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</si>
  <si>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</si>
  <si>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</si>
  <si>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</si>
  <si>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</si>
  <si>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</si>
  <si>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</si>
  <si>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</si>
  <si>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</si>
  <si>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</si>
  <si>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</si>
  <si>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</si>
  <si>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</si>
  <si>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</si>
  <si>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</si>
  <si>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</si>
  <si>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</si>
  <si>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</si>
  <si>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</si>
  <si>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</si>
  <si>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</si>
  <si>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</si>
  <si>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</si>
  <si>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</si>
  <si>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</si>
  <si>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</si>
  <si>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</si>
  <si>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</si>
  <si>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</si>
  <si>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</si>
  <si>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</si>
  <si>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</si>
  <si>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</si>
  <si>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</si>
  <si>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</si>
  <si>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</si>
  <si>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</si>
  <si>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</si>
  <si>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</si>
  <si>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</si>
  <si>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</si>
  <si>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</si>
  <si>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</si>
  <si>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</si>
  <si>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</si>
  <si>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</si>
  <si>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</si>
  <si>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</si>
  <si>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</si>
  <si>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</si>
  <si>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</si>
  <si>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</si>
  <si>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</si>
  <si>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</si>
  <si>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</si>
  <si>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</si>
  <si>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</si>
  <si>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</si>
  <si>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</si>
  <si>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</si>
  <si>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</si>
  <si>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</si>
  <si>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</si>
  <si>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</si>
  <si>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</si>
  <si>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</si>
  <si>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</si>
  <si>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</si>
  <si>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</si>
  <si>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</si>
  <si>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</si>
  <si>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</si>
  <si>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</si>
  <si>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</si>
  <si>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</si>
  <si>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</si>
  <si>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</si>
  <si>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</si>
  <si>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</si>
  <si>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</si>
  <si>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</si>
  <si>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</si>
  <si>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</si>
  <si>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</si>
  <si>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</si>
  <si>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</si>
  <si>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</si>
  <si>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</si>
  <si>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</si>
  <si>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</si>
  <si>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</si>
  <si>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</si>
  <si>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</si>
  <si>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</si>
  <si>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</si>
  <si>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</si>
  <si>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</si>
  <si>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</si>
  <si>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</si>
  <si>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</si>
  <si>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</si>
  <si>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</si>
  <si>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</si>
  <si>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</si>
  <si>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</si>
  <si>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</si>
  <si>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</si>
  <si>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</si>
  <si>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</si>
  <si>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</si>
  <si>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</si>
  <si>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</si>
  <si>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</si>
  <si>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</si>
  <si>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</si>
  <si>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</si>
  <si>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</si>
  <si>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</si>
  <si>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</si>
  <si>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</si>
  <si>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</si>
  <si>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</si>
  <si>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</si>
  <si>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</si>
  <si>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</si>
  <si>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</si>
  <si>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</si>
  <si>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</si>
  <si>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</si>
  <si>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</si>
  <si>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</si>
  <si>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</si>
  <si>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</si>
  <si>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</si>
  <si>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</si>
  <si>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</si>
  <si>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</si>
  <si>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</si>
  <si>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</si>
  <si>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</si>
  <si>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</si>
  <si>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</si>
  <si>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</si>
  <si>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</si>
  <si>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</si>
  <si>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</si>
  <si>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</si>
  <si>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</si>
  <si>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</si>
  <si>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</si>
  <si>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</si>
  <si>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</si>
  <si>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</si>
  <si>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</si>
  <si>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</si>
  <si>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</si>
  <si>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</si>
  <si>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</si>
  <si>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</si>
  <si>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</si>
  <si>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</si>
  <si>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</si>
  <si>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</si>
  <si>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</si>
  <si>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</si>
  <si>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</si>
  <si>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</si>
  <si>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</si>
  <si>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</si>
  <si>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</si>
  <si>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</si>
  <si>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</si>
  <si>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</si>
  <si>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</si>
  <si>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</si>
  <si>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</si>
  <si>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</si>
  <si>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</si>
  <si>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</si>
  <si>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</si>
  <si>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</si>
  <si>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</si>
  <si>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</si>
  <si>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</si>
  <si>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</si>
  <si>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</si>
  <si>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</si>
  <si>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</si>
  <si>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</si>
  <si>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</si>
  <si>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</si>
  <si>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</si>
  <si>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</si>
  <si>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</si>
  <si>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</si>
  <si>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</si>
  <si>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</si>
  <si>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</si>
  <si>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</si>
  <si>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</si>
  <si>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</si>
  <si>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</si>
  <si>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</si>
  <si>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</si>
  <si>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</si>
  <si>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</si>
  <si>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</si>
  <si>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</si>
  <si>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</si>
  <si>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</si>
  <si>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</si>
  <si>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</si>
  <si>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</si>
  <si>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</si>
  <si>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</si>
  <si>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</si>
  <si>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</si>
  <si>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</si>
  <si>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</si>
  <si>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</si>
  <si>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</si>
  <si>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</si>
  <si>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</si>
  <si>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</si>
  <si>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</si>
  <si>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</si>
  <si>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</si>
  <si>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</si>
  <si>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</si>
  <si>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</si>
  <si>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</si>
  <si>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</si>
  <si>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</si>
  <si>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</si>
  <si>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</si>
  <si>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</si>
  <si>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</si>
  <si>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</si>
  <si>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</si>
  <si>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</si>
  <si>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</si>
  <si>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</si>
  <si>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</si>
  <si>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</si>
  <si>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</si>
  <si>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</si>
  <si>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</si>
  <si>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</si>
  <si>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</si>
  <si>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</si>
  <si>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</si>
  <si>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</si>
  <si>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</si>
  <si>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</si>
  <si>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</si>
  <si>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</si>
  <si>
    <t>EMI</t>
  </si>
  <si>
    <t>24L</t>
  </si>
  <si>
    <t>Diff</t>
  </si>
  <si>
    <t>6% increase</t>
  </si>
  <si>
    <t>Rent-Low(4%)</t>
  </si>
  <si>
    <t>Rent-High(6%)</t>
  </si>
  <si>
    <t>10% increase</t>
  </si>
  <si>
    <t>Total</t>
  </si>
  <si>
    <t>8% increase</t>
  </si>
  <si>
    <t>Profit</t>
  </si>
  <si>
    <t>EMI FV</t>
  </si>
  <si>
    <t>8% interest</t>
  </si>
  <si>
    <t>9% interest</t>
  </si>
  <si>
    <t>20L</t>
  </si>
  <si>
    <t>8.5% interest</t>
  </si>
  <si>
    <t>Return on 6L</t>
  </si>
  <si>
    <t>Self-Invested</t>
  </si>
  <si>
    <t>Down-Payment</t>
  </si>
  <si>
    <t>Property value</t>
  </si>
  <si>
    <t>Return on 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</si>
</sst>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0" formatCode="_ * #,##0_ ;_ * \-#,##0_ ;_ * &quot;-&quot;??_ ;_ @_ "/>
    <numFmt numFmtId="172" formatCode="_ * #,##0_ ;_ * \-#,##0_ ;_ * &quot;-&quot;?_ ;_ @_ "/>
    <numFmt numFmtId="174" formatCode="0.0%"/>
  </numFmts>
  <fonts count="20" x14ac:knownFonts="1">
    <font>
      <sz val="10"/>
      <color rgb="FF000000"/>
      <name val="Arial"/>
      <scheme val="minor"/>
    </font>
    <font>
      <sz val="18"/>
      <color theme="1"/>
      <name val="Arial"/>
      <scheme val="minor"/>
    </font>
    <font>
      <sz val="18"/>
      <color rgb="FF000000"/>
      <name val="Calibri"/>
    </font>
    <font>
      <b/>
      <sz val="11"/>
      <color rgb="FF000000"/>
      <name val="Calibri"/>
    </font>
    <font>
      <b/>
      <u/>
      <sz val="11"/>
      <color rgb="FF000000"/>
      <name val="Calibri"/>
    </font>
    <font>
      <sz val="11"/>
      <color rgb="FF000000"/>
      <name val="Calibri"/>
    </font>
    <font>
      <sz val="11"/>
      <color rgb="FF006100"/>
      <name val="Calibri"/>
    </font>
    <font>
      <u/>
      <sz val="11"/>
      <color rgb="FF000000"/>
      <name val="Calibri"/>
    </font>
    <font>
      <sz val="11"/>
      <color rgb="FF9C5700"/>
      <name val="Calibri"/>
    </font>
    <font>
      <u/>
      <sz val="11"/>
      <color rgb="FF0563C1"/>
      <name val="Calibri"/>
    </font>
    <font>
      <sz val="11"/>
      <color rgb="FF9C0006"/>
      <name val="Calibri"/>
    </font>
    <font>
      <b/>
      <u/>
      <sz val="11"/>
      <color rgb="FF000000"/>
      <name val="Calibri"/>
    </font>
    <font>
      <b/>
      <sz val="11"/>
      <color rgb="FFFFFFFF"/>
      <name val="Calibri"/>
    </font>
    <font>
      <b/>
      <u/>
      <sz val="11"/>
      <color rgb="FF000000"/>
      <name val="Calibri"/>
    </font>
    <font>
      <b/>
      <u/>
      <sz val="11"/>
      <color rgb="FF000000"/>
      <name val="Calibri"/>
    </font>
    <font>
      <b/>
      <u/>
      <sz val="10"/>
      <color rgb="FF000000"/>
      <name val="Roboto"/>
    </font>
    <font>
      <b/>
      <u/>
      <sz val="11"/>
      <color rgb="FF000000"/>
      <name val="Calibri"/>
    </font>
    <font>
      <b/>
      <sz val="10"/>
      <color rgb="FF000000"/>
      <name val="Arial"/>
      <scheme val="minor"/>
    </font>
    <font>
      <sz val="10"/>
      <color rgb="FF000000"/>
      <name val="Arial"/>
      <scheme val="minor"/>
    </font>
    <font>
      <sz val="10"/>
      <color rgb="FF000000"/>
      <name val="Arial"/>
      <family val="2"/>
      <scheme val="minor"/>
    </font>
  </fonts>
  <fills count="9">
    <fill>
      <patternFill patternType="none"/>
    </fill>
    <fill>
      <patternFill patternType="gray125"/>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6">
    <border>
      <left/>
      <right/>
      <top/>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8" fillId="0" borderId="0" applyFont="0" applyFill="0" applyBorder="0" applyAlignment="0" applyProtection="0"/>
    <xf numFmtId="9" fontId="18" fillId="0" borderId="0" applyFont="0" applyFill="0" applyBorder="0" applyAlignment="0" applyProtection="0"/>
  </cellStyleXfs>
  <cellXfs count="38">
    <xf numFmtId="0" fontId="0" fillId="0" borderId="0" xfId="0"/>
    <xf numFmtId="0" fontId="2" fillId="2" borderId="0" xfId="0" applyFont="1" applyFill="1"/>
    <xf numFmtId="0" fontId="5" fillId="0" borderId="3" xfId="0" applyFont="1" applyBorder="1"/>
    <xf numFmtId="0" fontId="12" fillId="7" borderId="3" xfId="0" applyFont="1" applyFill="1" applyBorder="1"/>
    <xf numFmtId="0" fontId="3" fillId="0" borderId="0" xfId="0" applyFont="1" applyAlignment="1">
      <alignment wrapText="1"/>
    </xf>
    <xf numFmtId="0" fontId="5" fillId="0" borderId="3" xfId="0" applyFont="1" applyBorder="1" applyAlignment="1">
      <alignment wrapText="1"/>
    </xf>
    <xf numFmtId="0" fontId="0" fillId="0" borderId="0" xfId="0" applyAlignment="1">
      <alignment wrapText="1"/>
    </xf>
    <xf numFmtId="0" fontId="7" fillId="0" borderId="3" xfId="0" applyFont="1" applyBorder="1" applyAlignment="1">
      <alignment wrapText="1"/>
    </xf>
    <xf numFmtId="0" fontId="9" fillId="0" borderId="3" xfId="0" applyFont="1" applyBorder="1" applyAlignment="1">
      <alignment wrapText="1"/>
    </xf>
    <xf numFmtId="0" fontId="1" fillId="0" borderId="0" xfId="0" applyFont="1" applyAlignment="1">
      <alignment wrapText="1"/>
    </xf>
    <xf numFmtId="0" fontId="4" fillId="0" borderId="4" xfId="0" applyFont="1" applyBorder="1" applyAlignment="1">
      <alignment wrapText="1"/>
    </xf>
    <xf numFmtId="0" fontId="11" fillId="2" borderId="4" xfId="0" applyFont="1" applyFill="1" applyBorder="1" applyAlignment="1">
      <alignment wrapText="1"/>
    </xf>
    <xf numFmtId="0" fontId="13" fillId="8" borderId="4" xfId="0" applyFont="1" applyFill="1" applyBorder="1" applyAlignment="1">
      <alignment wrapText="1"/>
    </xf>
    <xf numFmtId="0" fontId="14" fillId="0" borderId="4" xfId="0" applyFont="1" applyBorder="1" applyAlignment="1">
      <alignment wrapText="1"/>
    </xf>
    <xf numFmtId="0" fontId="15" fillId="0" borderId="0" xfId="0" applyFont="1" applyAlignment="1">
      <alignment wrapText="1"/>
    </xf>
    <xf numFmtId="0" fontId="16" fillId="2" borderId="4" xfId="0" applyFont="1" applyFill="1" applyBorder="1" applyAlignment="1">
      <alignment wrapText="1"/>
    </xf>
    <xf numFmtId="0" fontId="17" fillId="0" borderId="0" xfId="0" applyFont="1" applyAlignment="1">
      <alignment wrapText="1"/>
    </xf>
    <xf numFmtId="0" fontId="5" fillId="0" borderId="2" xfId="0" applyFont="1" applyBorder="1"/>
    <xf numFmtId="0" fontId="5" fillId="0" borderId="2" xfId="0" applyFont="1" applyBorder="1" applyAlignment="1">
      <alignment wrapText="1"/>
    </xf>
    <xf numFmtId="0" fontId="7" fillId="0" borderId="2" xfId="0" applyFont="1" applyBorder="1" applyAlignment="1">
      <alignment wrapText="1"/>
    </xf>
    <xf numFmtId="0" fontId="4" fillId="0" borderId="1" xfId="0" applyFont="1" applyBorder="1" applyAlignment="1">
      <alignment wrapText="1"/>
    </xf>
    <xf numFmtId="0" fontId="3" fillId="0" borderId="5" xfId="0" applyFont="1" applyBorder="1"/>
    <xf numFmtId="0" fontId="3" fillId="0" borderId="5" xfId="0" applyFont="1" applyBorder="1" applyAlignment="1">
      <alignment wrapText="1"/>
    </xf>
    <xf numFmtId="0" fontId="3" fillId="3" borderId="5" xfId="0" applyFont="1" applyFill="1" applyBorder="1" applyAlignment="1">
      <alignment wrapText="1"/>
    </xf>
    <xf numFmtId="0" fontId="6" fillId="4" borderId="2" xfId="0" applyFont="1" applyFill="1" applyBorder="1" applyAlignment="1">
      <alignment wrapText="1"/>
    </xf>
    <xf numFmtId="0" fontId="6" fillId="4" borderId="3" xfId="0" applyFont="1" applyFill="1" applyBorder="1" applyAlignment="1">
      <alignment wrapText="1"/>
    </xf>
    <xf numFmtId="0" fontId="8" fillId="5" borderId="3" xfId="0" applyFont="1" applyFill="1" applyBorder="1" applyAlignment="1">
      <alignment wrapText="1"/>
    </xf>
    <xf numFmtId="0" fontId="10" fillId="6" borderId="3" xfId="0" applyFont="1" applyFill="1" applyBorder="1" applyAlignment="1">
      <alignment wrapText="1"/>
    </xf>
    <xf numFmtId="3" fontId="0" fillId="0" borderId="0" xfId="0" applyNumberFormat="1"/>
    <xf numFmtId="43" fontId="0" fillId="0" borderId="0" xfId="1" applyNumberFormat="1" applyFont="1"/>
    <xf numFmtId="170" fontId="0" fillId="0" borderId="0" xfId="1" applyNumberFormat="1" applyFont="1"/>
    <xf numFmtId="43" fontId="0" fillId="0" borderId="0" xfId="0" applyNumberFormat="1"/>
    <xf numFmtId="170" fontId="0" fillId="0" borderId="0" xfId="0" applyNumberFormat="1"/>
    <xf numFmtId="172" fontId="0" fillId="0" borderId="0" xfId="0" applyNumberFormat="1"/>
    <xf numFmtId="9" fontId="0" fillId="0" borderId="0" xfId="2" applyFont="1"/>
    <xf numFmtId="0" fontId="19" fillId="0" borderId="0" xfId="0" applyFont="1"/>
    <xf numFmtId="170" fontId="19" fillId="0" borderId="0" xfId="1" applyNumberFormat="1" applyFont="1"/>
    <xf numFmtId="174" fontId="0" fillId="0" borderId="0" xfId="2"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B1k_sxOSgv8" TargetMode="External"/><Relationship Id="rId21" Type="http://schemas.openxmlformats.org/officeDocument/2006/relationships/hyperlink" Target="https://youtu.be/gVUrDV4tZfY" TargetMode="External"/><Relationship Id="rId42" Type="http://schemas.openxmlformats.org/officeDocument/2006/relationships/hyperlink" Target="https://leetcode.com/problems/combination-sum/" TargetMode="External"/><Relationship Id="rId63" Type="http://schemas.openxmlformats.org/officeDocument/2006/relationships/hyperlink" Target="https://youtu.be/6kTZYvNNyps" TargetMode="External"/><Relationship Id="rId84" Type="http://schemas.openxmlformats.org/officeDocument/2006/relationships/hyperlink" Target="https://leetcode.com/problems/merge-two-sorted-lists/" TargetMode="External"/><Relationship Id="rId138" Type="http://schemas.openxmlformats.org/officeDocument/2006/relationships/hyperlink" Target="https://leetcode.com/problems/kth-smallest-element-in-a-bst/" TargetMode="External"/><Relationship Id="rId107" Type="http://schemas.openxmlformats.org/officeDocument/2006/relationships/hyperlink" Target="https://youtu.be/vzdNOK2oB2E" TargetMode="External"/><Relationship Id="rId11" Type="http://schemas.openxmlformats.org/officeDocument/2006/relationships/hyperlink" Target="https://youtu.be/lXVy6YWFcRM" TargetMode="External"/><Relationship Id="rId32" Type="http://schemas.openxmlformats.org/officeDocument/2006/relationships/hyperlink" Target="https://leetcode.com/problems/climbing-stairs/" TargetMode="External"/><Relationship Id="rId53" Type="http://schemas.openxmlformats.org/officeDocument/2006/relationships/hyperlink" Target="https://youtu.be/mQeF6bN8hMk" TargetMode="External"/><Relationship Id="rId74" Type="http://schemas.openxmlformats.org/officeDocument/2006/relationships/hyperlink" Target="https://leetcode.com/problems/non-overlapping-intervals/" TargetMode="External"/><Relationship Id="rId128" Type="http://schemas.openxmlformats.org/officeDocument/2006/relationships/hyperlink" Target="https://leetcode.com/problems/binary-tree-level-order-traversal/" TargetMode="External"/><Relationship Id="rId149" Type="http://schemas.openxmlformats.org/officeDocument/2006/relationships/hyperlink" Target="https://youtu.be/YPTqKIgVk-k" TargetMode="External"/><Relationship Id="rId5" Type="http://schemas.openxmlformats.org/officeDocument/2006/relationships/hyperlink" Target="https://youtu.be/3OamzN90kPg" TargetMode="External"/><Relationship Id="rId95" Type="http://schemas.openxmlformats.org/officeDocument/2006/relationships/hyperlink" Target="https://youtu.be/fMSJSS7eO1w" TargetMode="External"/><Relationship Id="rId22" Type="http://schemas.openxmlformats.org/officeDocument/2006/relationships/hyperlink" Target="https://leetcode.com/problems/sum-of-two-integers/" TargetMode="External"/><Relationship Id="rId27" Type="http://schemas.openxmlformats.org/officeDocument/2006/relationships/hyperlink" Target="https://youtu.be/WnPLSRLSANE" TargetMode="External"/><Relationship Id="rId43" Type="http://schemas.openxmlformats.org/officeDocument/2006/relationships/hyperlink" Target="https://youtu.be/73r3KWiEvyk" TargetMode="External"/><Relationship Id="rId48" Type="http://schemas.openxmlformats.org/officeDocument/2006/relationships/hyperlink" Target="https://leetcode.com/problems/decode-ways/" TargetMode="External"/><Relationship Id="rId64" Type="http://schemas.openxmlformats.org/officeDocument/2006/relationships/hyperlink" Target="https://leetcode.com/problems/alien-dictionary/" TargetMode="External"/><Relationship Id="rId69" Type="http://schemas.openxmlformats.org/officeDocument/2006/relationships/hyperlink" Target="https://youtu.be/A8NUOmlwOlM" TargetMode="External"/><Relationship Id="rId113" Type="http://schemas.openxmlformats.org/officeDocument/2006/relationships/hyperlink" Target="https://youtu.be/XYQecbcd6_c" TargetMode="External"/><Relationship Id="rId118" Type="http://schemas.openxmlformats.org/officeDocument/2006/relationships/hyperlink" Target="https://leetcode.com/problems/encode-and-decode-strings/" TargetMode="External"/><Relationship Id="rId134" Type="http://schemas.openxmlformats.org/officeDocument/2006/relationships/hyperlink" Target="https://leetcode.com/problems/construct-binary-tree-from-preorder-and-inorder-traversal/" TargetMode="External"/><Relationship Id="rId139" Type="http://schemas.openxmlformats.org/officeDocument/2006/relationships/hyperlink" Target="https://youtu.be/gs2LMfuOR9k" TargetMode="External"/><Relationship Id="rId80" Type="http://schemas.openxmlformats.org/officeDocument/2006/relationships/hyperlink" Target="https://leetcode.com/problems/reverse-linked-list/" TargetMode="External"/><Relationship Id="rId85" Type="http://schemas.openxmlformats.org/officeDocument/2006/relationships/hyperlink" Target="https://youtu.be/q5a5OiGbT6Q" TargetMode="External"/><Relationship Id="rId150" Type="http://schemas.openxmlformats.org/officeDocument/2006/relationships/hyperlink" Target="https://leetcode.com/problems/top-k-frequent-elements/" TargetMode="External"/><Relationship Id="rId12" Type="http://schemas.openxmlformats.org/officeDocument/2006/relationships/hyperlink" Target="https://leetcode.com/problems/maximum-product-subarray/" TargetMode="External"/><Relationship Id="rId17" Type="http://schemas.openxmlformats.org/officeDocument/2006/relationships/hyperlink" Target="https://youtu.be/jzZsG8n2R9A" TargetMode="External"/><Relationship Id="rId33" Type="http://schemas.openxmlformats.org/officeDocument/2006/relationships/hyperlink" Target="https://youtu.be/H9bfqozjoqs" TargetMode="External"/><Relationship Id="rId38" Type="http://schemas.openxmlformats.org/officeDocument/2006/relationships/hyperlink" Target="https://leetcode.com/problems/longest-common-subsequence/" TargetMode="External"/><Relationship Id="rId59" Type="http://schemas.openxmlformats.org/officeDocument/2006/relationships/hyperlink" Target="https://youtu.be/pV2kpPD66nE" TargetMode="External"/><Relationship Id="rId103" Type="http://schemas.openxmlformats.org/officeDocument/2006/relationships/hyperlink" Target="https://youtu.be/jSto0O4AJbM" TargetMode="External"/><Relationship Id="rId108" Type="http://schemas.openxmlformats.org/officeDocument/2006/relationships/hyperlink" Target="https://leetcode.com/problems/group-anagrams/" TargetMode="External"/><Relationship Id="rId124" Type="http://schemas.openxmlformats.org/officeDocument/2006/relationships/hyperlink" Target="https://leetcode.com/problems/invert-binary-tree/" TargetMode="External"/><Relationship Id="rId129" Type="http://schemas.openxmlformats.org/officeDocument/2006/relationships/hyperlink" Target="https://youtu.be/u4JAi2JJhI8" TargetMode="External"/><Relationship Id="rId54" Type="http://schemas.openxmlformats.org/officeDocument/2006/relationships/hyperlink" Target="https://leetcode.com/problems/clone-graph/" TargetMode="External"/><Relationship Id="rId70" Type="http://schemas.openxmlformats.org/officeDocument/2006/relationships/hyperlink" Target="https://leetcode.com/problems/insert-interval/" TargetMode="External"/><Relationship Id="rId75" Type="http://schemas.openxmlformats.org/officeDocument/2006/relationships/hyperlink" Target="https://youtu.be/PaJxqZVPhbg" TargetMode="External"/><Relationship Id="rId91" Type="http://schemas.openxmlformats.org/officeDocument/2006/relationships/hyperlink" Target="https://youtu.be/T41rL0L3Pnw" TargetMode="External"/><Relationship Id="rId96" Type="http://schemas.openxmlformats.org/officeDocument/2006/relationships/hyperlink" Target="https://leetcode.com/problems/rotate-image/" TargetMode="External"/><Relationship Id="rId140" Type="http://schemas.openxmlformats.org/officeDocument/2006/relationships/hyperlink" Target="https://leetcode.com/problems/lowest-common-ancestor-of-a-binary-search-tree/" TargetMode="External"/><Relationship Id="rId145" Type="http://schemas.openxmlformats.org/officeDocument/2006/relationships/hyperlink" Target="https://youtu.be/asbcE9mZz_U" TargetMode="External"/><Relationship Id="rId1" Type="http://schemas.openxmlformats.org/officeDocument/2006/relationships/hyperlink" Target="https://youtu.be/KLlXCFG5TnA" TargetMode="External"/><Relationship Id="rId6" Type="http://schemas.openxmlformats.org/officeDocument/2006/relationships/hyperlink" Target="https://leetcode.com/problems/contains-duplicate/" TargetMode="External"/><Relationship Id="rId23" Type="http://schemas.openxmlformats.org/officeDocument/2006/relationships/hyperlink" Target="https://youtu.be/5Km3utixwZs" TargetMode="External"/><Relationship Id="rId28" Type="http://schemas.openxmlformats.org/officeDocument/2006/relationships/hyperlink" Target="https://leetcode.com/problems/missing-number/" TargetMode="External"/><Relationship Id="rId49" Type="http://schemas.openxmlformats.org/officeDocument/2006/relationships/hyperlink" Target="https://youtu.be/IlEsdxuD4lY" TargetMode="External"/><Relationship Id="rId114" Type="http://schemas.openxmlformats.org/officeDocument/2006/relationships/hyperlink" Target="https://leetcode.com/problems/longest-palindromic-substring/" TargetMode="External"/><Relationship Id="rId119" Type="http://schemas.openxmlformats.org/officeDocument/2006/relationships/hyperlink" Target="https://youtu.be/hTM3phVI6YQ" TargetMode="External"/><Relationship Id="rId44" Type="http://schemas.openxmlformats.org/officeDocument/2006/relationships/hyperlink" Target="https://leetcode.com/problems/house-robber/" TargetMode="External"/><Relationship Id="rId60" Type="http://schemas.openxmlformats.org/officeDocument/2006/relationships/hyperlink" Target="https://leetcode.com/problems/number-of-islands/" TargetMode="External"/><Relationship Id="rId65" Type="http://schemas.openxmlformats.org/officeDocument/2006/relationships/hyperlink" Target="https://youtu.be/bXsUuownnoQ" TargetMode="External"/><Relationship Id="rId81" Type="http://schemas.openxmlformats.org/officeDocument/2006/relationships/hyperlink" Target="https://youtu.be/gBTe7lFR3vc" TargetMode="External"/><Relationship Id="rId86" Type="http://schemas.openxmlformats.org/officeDocument/2006/relationships/hyperlink" Target="https://leetcode.com/problems/merge-k-sorted-lists/" TargetMode="External"/><Relationship Id="rId130" Type="http://schemas.openxmlformats.org/officeDocument/2006/relationships/hyperlink" Target="https://leetcode.com/problems/serialize-and-deserialize-binary-tree/" TargetMode="External"/><Relationship Id="rId135" Type="http://schemas.openxmlformats.org/officeDocument/2006/relationships/hyperlink" Target="https://youtu.be/s6ATEkipzow" TargetMode="External"/><Relationship Id="rId151" Type="http://schemas.openxmlformats.org/officeDocument/2006/relationships/hyperlink" Target="https://youtu.be/itmhHWaHupI" TargetMode="External"/><Relationship Id="rId13" Type="http://schemas.openxmlformats.org/officeDocument/2006/relationships/hyperlink" Target="https://youtu.be/nIVW4P8b1VA" TargetMode="External"/><Relationship Id="rId18" Type="http://schemas.openxmlformats.org/officeDocument/2006/relationships/hyperlink" Target="https://leetcode.com/problems/3sum/" TargetMode="External"/><Relationship Id="rId39" Type="http://schemas.openxmlformats.org/officeDocument/2006/relationships/hyperlink" Target="https://youtu.be/Sx9NNgInc3A" TargetMode="External"/><Relationship Id="rId109" Type="http://schemas.openxmlformats.org/officeDocument/2006/relationships/hyperlink" Target="https://youtu.be/WTzjTskDFMg" TargetMode="External"/><Relationship Id="rId34" Type="http://schemas.openxmlformats.org/officeDocument/2006/relationships/hyperlink" Target="https://leetcode.com/problems/coin-change/" TargetMode="External"/><Relationship Id="rId50" Type="http://schemas.openxmlformats.org/officeDocument/2006/relationships/hyperlink" Target="https://leetcode.com/problems/unique-paths/" TargetMode="External"/><Relationship Id="rId55" Type="http://schemas.openxmlformats.org/officeDocument/2006/relationships/hyperlink" Target="https://youtu.be/EgI5nU9etnU" TargetMode="External"/><Relationship Id="rId76" Type="http://schemas.openxmlformats.org/officeDocument/2006/relationships/hyperlink" Target="https://leetcode.com/problems/meeting-rooms/" TargetMode="External"/><Relationship Id="rId97" Type="http://schemas.openxmlformats.org/officeDocument/2006/relationships/hyperlink" Target="https://youtu.be/pfiQ_PS1g8E" TargetMode="External"/><Relationship Id="rId104" Type="http://schemas.openxmlformats.org/officeDocument/2006/relationships/hyperlink" Target="https://leetcode.com/problems/minimum-window-substring/" TargetMode="External"/><Relationship Id="rId120" Type="http://schemas.openxmlformats.org/officeDocument/2006/relationships/hyperlink" Target="https://leetcode.com/problems/maximum-depth-of-binary-tree/" TargetMode="External"/><Relationship Id="rId125" Type="http://schemas.openxmlformats.org/officeDocument/2006/relationships/hyperlink" Target="https://youtu.be/Hr5cWUld4vU" TargetMode="External"/><Relationship Id="rId141" Type="http://schemas.openxmlformats.org/officeDocument/2006/relationships/hyperlink" Target="https://youtu.be/oobqoCJlHA0" TargetMode="External"/><Relationship Id="rId146" Type="http://schemas.openxmlformats.org/officeDocument/2006/relationships/hyperlink" Target="https://leetcode.com/problems/word-search-ii/" TargetMode="External"/><Relationship Id="rId7" Type="http://schemas.openxmlformats.org/officeDocument/2006/relationships/hyperlink" Target="https://youtu.be/bNvIQI2wAjk" TargetMode="External"/><Relationship Id="rId71" Type="http://schemas.openxmlformats.org/officeDocument/2006/relationships/hyperlink" Target="https://youtu.be/44H3cEC2fFM" TargetMode="External"/><Relationship Id="rId92" Type="http://schemas.openxmlformats.org/officeDocument/2006/relationships/hyperlink" Target="https://leetcode.com/problems/set-matrix-zeroes/" TargetMode="External"/><Relationship Id="rId2" Type="http://schemas.openxmlformats.org/officeDocument/2006/relationships/hyperlink" Target="https://leetcode.com/problems/two-sum/" TargetMode="External"/><Relationship Id="rId29" Type="http://schemas.openxmlformats.org/officeDocument/2006/relationships/hyperlink" Target="https://youtu.be/UcoN6UjAI64" TargetMode="External"/><Relationship Id="rId24" Type="http://schemas.openxmlformats.org/officeDocument/2006/relationships/hyperlink" Target="https://leetcode.com/problems/number-of-1-bits/" TargetMode="External"/><Relationship Id="rId40" Type="http://schemas.openxmlformats.org/officeDocument/2006/relationships/hyperlink" Target="https://leetcode.com/problems/word-break/" TargetMode="External"/><Relationship Id="rId45" Type="http://schemas.openxmlformats.org/officeDocument/2006/relationships/hyperlink" Target="https://youtu.be/rWAJCfYYOvM" TargetMode="External"/><Relationship Id="rId66" Type="http://schemas.openxmlformats.org/officeDocument/2006/relationships/hyperlink" Target="https://leetcode.com/problems/graph-valid-tree/" TargetMode="External"/><Relationship Id="rId87" Type="http://schemas.openxmlformats.org/officeDocument/2006/relationships/hyperlink" Target="https://youtu.be/XVuQxVej6y8" TargetMode="External"/><Relationship Id="rId110" Type="http://schemas.openxmlformats.org/officeDocument/2006/relationships/hyperlink" Target="https://leetcode.com/problems/valid-parentheses/" TargetMode="External"/><Relationship Id="rId115" Type="http://schemas.openxmlformats.org/officeDocument/2006/relationships/hyperlink" Target="https://youtu.be/4RACzI5-du8" TargetMode="External"/><Relationship Id="rId131" Type="http://schemas.openxmlformats.org/officeDocument/2006/relationships/hyperlink" Target="https://youtu.be/E36O5SWp-LE" TargetMode="External"/><Relationship Id="rId136" Type="http://schemas.openxmlformats.org/officeDocument/2006/relationships/hyperlink" Target="https://leetcode.com/problems/validate-binary-search-tree/" TargetMode="External"/><Relationship Id="rId61" Type="http://schemas.openxmlformats.org/officeDocument/2006/relationships/hyperlink" Target="https://youtu.be/P6RZZMu_maU" TargetMode="External"/><Relationship Id="rId82" Type="http://schemas.openxmlformats.org/officeDocument/2006/relationships/hyperlink" Target="https://leetcode.com/problems/linked-list-cycle/" TargetMode="External"/><Relationship Id="rId152" Type="http://schemas.openxmlformats.org/officeDocument/2006/relationships/hyperlink" Target="https://leetcode.com/problems/find-median-from-data-stream/" TargetMode="External"/><Relationship Id="rId19" Type="http://schemas.openxmlformats.org/officeDocument/2006/relationships/hyperlink" Target="https://youtu.be/UuiTKBwPgAo" TargetMode="External"/><Relationship Id="rId14" Type="http://schemas.openxmlformats.org/officeDocument/2006/relationships/hyperlink" Target="https://leetcode.com/problems/find-minimum-in-rotated-sorted-array/" TargetMode="External"/><Relationship Id="rId30" Type="http://schemas.openxmlformats.org/officeDocument/2006/relationships/hyperlink" Target="https://leetcode.com/problems/reverse-bits/" TargetMode="External"/><Relationship Id="rId35" Type="http://schemas.openxmlformats.org/officeDocument/2006/relationships/hyperlink" Target="https://youtu.be/cjWnW0hdF1Y" TargetMode="External"/><Relationship Id="rId56" Type="http://schemas.openxmlformats.org/officeDocument/2006/relationships/hyperlink" Target="https://leetcode.com/problems/course-schedule/" TargetMode="External"/><Relationship Id="rId77" Type="http://schemas.openxmlformats.org/officeDocument/2006/relationships/hyperlink" Target="https://youtu.be/FdzJmTCVyJU" TargetMode="External"/><Relationship Id="rId100" Type="http://schemas.openxmlformats.org/officeDocument/2006/relationships/hyperlink" Target="https://leetcode.com/problems/longest-substring-without-repeating-characters/" TargetMode="External"/><Relationship Id="rId105" Type="http://schemas.openxmlformats.org/officeDocument/2006/relationships/hyperlink" Target="https://youtu.be/9UtInBqnCgA" TargetMode="External"/><Relationship Id="rId126" Type="http://schemas.openxmlformats.org/officeDocument/2006/relationships/hyperlink" Target="https://leetcode.com/problems/binary-tree-maximum-path-sum/" TargetMode="External"/><Relationship Id="rId147" Type="http://schemas.openxmlformats.org/officeDocument/2006/relationships/hyperlink" Target="https://youtu.be/q5a5OiGbT6Q" TargetMode="External"/><Relationship Id="rId8" Type="http://schemas.openxmlformats.org/officeDocument/2006/relationships/hyperlink" Target="https://leetcode.com/problems/product-of-array-except-self/" TargetMode="External"/><Relationship Id="rId51" Type="http://schemas.openxmlformats.org/officeDocument/2006/relationships/hyperlink" Target="https://youtu.be/Yan0cv2cLy8" TargetMode="External"/><Relationship Id="rId72" Type="http://schemas.openxmlformats.org/officeDocument/2006/relationships/hyperlink" Target="https://leetcode.com/problems/merge-intervals/" TargetMode="External"/><Relationship Id="rId93" Type="http://schemas.openxmlformats.org/officeDocument/2006/relationships/hyperlink" Target="https://youtu.be/BJnMZNwUk1M" TargetMode="External"/><Relationship Id="rId98" Type="http://schemas.openxmlformats.org/officeDocument/2006/relationships/hyperlink" Target="https://leetcode.com/problems/word-search/" TargetMode="External"/><Relationship Id="rId121" Type="http://schemas.openxmlformats.org/officeDocument/2006/relationships/hyperlink" Target="https://youtu.be/vRbbcKXCxOw" TargetMode="External"/><Relationship Id="rId142" Type="http://schemas.openxmlformats.org/officeDocument/2006/relationships/hyperlink" Target="https://leetcode.com/problems/implement-trie-prefix-tree/" TargetMode="External"/><Relationship Id="rId3" Type="http://schemas.openxmlformats.org/officeDocument/2006/relationships/hyperlink" Target="https://youtu.be/1pkOgXD63yU" TargetMode="External"/><Relationship Id="rId25" Type="http://schemas.openxmlformats.org/officeDocument/2006/relationships/hyperlink" Target="https://youtu.be/RyBM56RIWrM" TargetMode="External"/><Relationship Id="rId46" Type="http://schemas.openxmlformats.org/officeDocument/2006/relationships/hyperlink" Target="https://leetcode.com/problems/house-robber-ii/" TargetMode="External"/><Relationship Id="rId67" Type="http://schemas.openxmlformats.org/officeDocument/2006/relationships/hyperlink" Target="https://youtu.be/8f1XPm4WOUc" TargetMode="External"/><Relationship Id="rId116" Type="http://schemas.openxmlformats.org/officeDocument/2006/relationships/hyperlink" Target="https://leetcode.com/problems/palindromic-substrings/" TargetMode="External"/><Relationship Id="rId137" Type="http://schemas.openxmlformats.org/officeDocument/2006/relationships/hyperlink" Target="https://youtu.be/5LUXSvjmGCw" TargetMode="External"/><Relationship Id="rId20" Type="http://schemas.openxmlformats.org/officeDocument/2006/relationships/hyperlink" Target="https://leetcode.com/problems/container-with-most-water/" TargetMode="External"/><Relationship Id="rId41" Type="http://schemas.openxmlformats.org/officeDocument/2006/relationships/hyperlink" Target="https://youtu.be/GBKI9VSKdGg" TargetMode="External"/><Relationship Id="rId62" Type="http://schemas.openxmlformats.org/officeDocument/2006/relationships/hyperlink" Target="https://leetcode.com/problems/longest-consecutive-sequence/" TargetMode="External"/><Relationship Id="rId83" Type="http://schemas.openxmlformats.org/officeDocument/2006/relationships/hyperlink" Target="https://youtu.be/XIdigk956u0" TargetMode="External"/><Relationship Id="rId88" Type="http://schemas.openxmlformats.org/officeDocument/2006/relationships/hyperlink" Target="https://leetcode.com/problems/remove-nth-node-from-end-of-list/" TargetMode="External"/><Relationship Id="rId111" Type="http://schemas.openxmlformats.org/officeDocument/2006/relationships/hyperlink" Target="https://youtu.be/jJXJ16kPFWg" TargetMode="External"/><Relationship Id="rId132" Type="http://schemas.openxmlformats.org/officeDocument/2006/relationships/hyperlink" Target="https://leetcode.com/problems/subtree-of-another-tree/" TargetMode="External"/><Relationship Id="rId15" Type="http://schemas.openxmlformats.org/officeDocument/2006/relationships/hyperlink" Target="https://youtu.be/U8XENwh8Oy8" TargetMode="External"/><Relationship Id="rId36" Type="http://schemas.openxmlformats.org/officeDocument/2006/relationships/hyperlink" Target="https://leetcode.com/problems/longest-increasing-subsequence/" TargetMode="External"/><Relationship Id="rId57" Type="http://schemas.openxmlformats.org/officeDocument/2006/relationships/hyperlink" Target="https://youtu.be/s-VkcjHqkGI" TargetMode="External"/><Relationship Id="rId106" Type="http://schemas.openxmlformats.org/officeDocument/2006/relationships/hyperlink" Target="https://leetcode.com/problems/valid-anagram/" TargetMode="External"/><Relationship Id="rId127" Type="http://schemas.openxmlformats.org/officeDocument/2006/relationships/hyperlink" Target="https://youtu.be/6ZnyEApgFYg" TargetMode="External"/><Relationship Id="rId10" Type="http://schemas.openxmlformats.org/officeDocument/2006/relationships/hyperlink" Target="https://leetcode.com/problems/maximum-subarray/" TargetMode="External"/><Relationship Id="rId31" Type="http://schemas.openxmlformats.org/officeDocument/2006/relationships/hyperlink" Target="https://youtu.be/Y0lT9Fck7qI" TargetMode="External"/><Relationship Id="rId52" Type="http://schemas.openxmlformats.org/officeDocument/2006/relationships/hyperlink" Target="https://leetcode.com/problems/jump-game/" TargetMode="External"/><Relationship Id="rId73" Type="http://schemas.openxmlformats.org/officeDocument/2006/relationships/hyperlink" Target="https://youtu.be/nONCGxWoUfM" TargetMode="External"/><Relationship Id="rId78" Type="http://schemas.openxmlformats.org/officeDocument/2006/relationships/hyperlink" Target="https://leetcode.com/problems/meeting-rooms-ii/" TargetMode="External"/><Relationship Id="rId94" Type="http://schemas.openxmlformats.org/officeDocument/2006/relationships/hyperlink" Target="https://leetcode.com/problems/spiral-matrix/" TargetMode="External"/><Relationship Id="rId99" Type="http://schemas.openxmlformats.org/officeDocument/2006/relationships/hyperlink" Target="https://youtu.be/wiGpQwVHdE0" TargetMode="External"/><Relationship Id="rId101" Type="http://schemas.openxmlformats.org/officeDocument/2006/relationships/hyperlink" Target="https://youtu.be/gqXU1UyA8pk" TargetMode="External"/><Relationship Id="rId122" Type="http://schemas.openxmlformats.org/officeDocument/2006/relationships/hyperlink" Target="https://leetcode.com/problems/same-tree/" TargetMode="External"/><Relationship Id="rId143" Type="http://schemas.openxmlformats.org/officeDocument/2006/relationships/hyperlink" Target="https://youtu.be/BTf05gs_8iU" TargetMode="External"/><Relationship Id="rId148" Type="http://schemas.openxmlformats.org/officeDocument/2006/relationships/hyperlink" Target="https://leetcode.com/problems/merge-k-sorted-lists/" TargetMode="External"/><Relationship Id="rId4" Type="http://schemas.openxmlformats.org/officeDocument/2006/relationships/hyperlink" Target="https://leetcode.com/problems/best-time-to-buy-and-sell-stock/" TargetMode="External"/><Relationship Id="rId9" Type="http://schemas.openxmlformats.org/officeDocument/2006/relationships/hyperlink" Target="https://youtu.be/5WZl3MMT0Eg" TargetMode="External"/><Relationship Id="rId26" Type="http://schemas.openxmlformats.org/officeDocument/2006/relationships/hyperlink" Target="https://leetcode.com/problems/counting-bits/" TargetMode="External"/><Relationship Id="rId47" Type="http://schemas.openxmlformats.org/officeDocument/2006/relationships/hyperlink" Target="https://youtu.be/6aEyTjOwlJU" TargetMode="External"/><Relationship Id="rId68" Type="http://schemas.openxmlformats.org/officeDocument/2006/relationships/hyperlink" Target="https://leetcode.com/problems/number-of-connected-components-in-an-undirected-graph/" TargetMode="External"/><Relationship Id="rId89" Type="http://schemas.openxmlformats.org/officeDocument/2006/relationships/hyperlink" Target="https://youtu.be/S5bfdUTrKLM" TargetMode="External"/><Relationship Id="rId112" Type="http://schemas.openxmlformats.org/officeDocument/2006/relationships/hyperlink" Target="https://leetcode.com/problems/valid-palindrome/" TargetMode="External"/><Relationship Id="rId133" Type="http://schemas.openxmlformats.org/officeDocument/2006/relationships/hyperlink" Target="https://youtu.be/ihj4IQGZ2zc" TargetMode="External"/><Relationship Id="rId16" Type="http://schemas.openxmlformats.org/officeDocument/2006/relationships/hyperlink" Target="https://leetcode.com/problems/search-in-rotated-sorted-array/" TargetMode="External"/><Relationship Id="rId37" Type="http://schemas.openxmlformats.org/officeDocument/2006/relationships/hyperlink" Target="https://youtu.be/Ua0GhsJSlWM" TargetMode="External"/><Relationship Id="rId58" Type="http://schemas.openxmlformats.org/officeDocument/2006/relationships/hyperlink" Target="https://leetcode.com/problems/pacific-atlantic-water-flow/" TargetMode="External"/><Relationship Id="rId79" Type="http://schemas.openxmlformats.org/officeDocument/2006/relationships/hyperlink" Target="https://youtu.be/G0_I-ZF0S38" TargetMode="External"/><Relationship Id="rId102" Type="http://schemas.openxmlformats.org/officeDocument/2006/relationships/hyperlink" Target="https://leetcode.com/problems/longest-repeating-character-replacement/" TargetMode="External"/><Relationship Id="rId123" Type="http://schemas.openxmlformats.org/officeDocument/2006/relationships/hyperlink" Target="https://youtu.be/OnSn2XEQ4MY" TargetMode="External"/><Relationship Id="rId144" Type="http://schemas.openxmlformats.org/officeDocument/2006/relationships/hyperlink" Target="https://leetcode.com/problems/add-and-search-word-data-structure-design/" TargetMode="External"/><Relationship Id="rId90" Type="http://schemas.openxmlformats.org/officeDocument/2006/relationships/hyperlink" Target="https://leetcode.com/problems/reorder-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1001"/>
  <sheetViews>
    <sheetView tabSelected="1" workbookViewId="0">
      <selection activeCell="B2" sqref="B2:D2"/>
    </sheetView>
  </sheetViews>
  <sheetFormatPr defaultColWidth="12.6640625" defaultRowHeight="13.2" x14ac:dyDescent="0.25"/>
  <cols>
    <col min="2" max="2" width="27.5546875" customWidth="1"/>
    <col min="3" max="3" width="27.77734375" style="6" customWidth="1"/>
    <col min="4" max="4" width="35.88671875" style="6" customWidth="1"/>
    <col min="5" max="5" width="38.44140625" style="6" customWidth="1"/>
    <col min="6" max="6" width="35.33203125" style="6" customWidth="1"/>
  </cols>
  <sheetData>
    <row r="1" spans="2:6" ht="23.4" x14ac:dyDescent="0.45">
      <c r="B1" s="1"/>
      <c r="C1" s="4"/>
      <c r="D1" s="4"/>
      <c r="E1" s="4"/>
      <c r="F1" s="9"/>
    </row>
    <row r="2" spans="2:6" ht="14.4" x14ac:dyDescent="0.3">
      <c r="B2" s="21" t="s">
        <v>1</v>
      </c>
      <c r="C2" s="22" t="s">
        <v>2</v>
      </c>
      <c r="D2" s="22" t="s">
        <v>4</v>
      </c>
      <c r="E2" s="22" t="s">
        <v>3</v>
      </c>
      <c r="F2" s="23" t="s">
        <v>0</v>
      </c>
    </row>
    <row r="3" spans="2:6" ht="57.6" x14ac:dyDescent="0.3">
      <c r="B3" s="17" t="s">
        <v>6</v>
      </c>
      <c r="C3" s="24" t="s">
        <v>7</v>
      </c>
      <c r="D3" s="18" t="s">
        <v>9</v>
      </c>
      <c r="E3" s="19" t="s">
        <v>8</v>
      </c>
      <c r="F3" s="20" t="s">
        <v>5</v>
      </c>
    </row>
    <row r="4" spans="2:6" ht="28.8" x14ac:dyDescent="0.3">
      <c r="B4" s="2" t="s">
        <v>6</v>
      </c>
      <c r="C4" s="25" t="s">
        <v>11</v>
      </c>
      <c r="D4" s="5" t="s">
        <v>13</v>
      </c>
      <c r="E4" s="7" t="s">
        <v>12</v>
      </c>
      <c r="F4" s="10" t="s">
        <v>10</v>
      </c>
    </row>
    <row r="5" spans="2:6" ht="28.8" x14ac:dyDescent="0.3">
      <c r="B5" s="2" t="s">
        <v>6</v>
      </c>
      <c r="C5" s="25" t="s">
        <v>15</v>
      </c>
      <c r="D5" s="5" t="s">
        <v>17</v>
      </c>
      <c r="E5" s="7" t="s">
        <v>16</v>
      </c>
      <c r="F5" s="10" t="s">
        <v>14</v>
      </c>
    </row>
    <row r="6" spans="2:6" ht="28.8" x14ac:dyDescent="0.3">
      <c r="B6" s="2" t="s">
        <v>6</v>
      </c>
      <c r="C6" s="26" t="s">
        <v>19</v>
      </c>
      <c r="D6" s="5" t="s">
        <v>21</v>
      </c>
      <c r="E6" s="7" t="s">
        <v>20</v>
      </c>
      <c r="F6" s="10" t="s">
        <v>18</v>
      </c>
    </row>
    <row r="7" spans="2:6" ht="43.2" x14ac:dyDescent="0.3">
      <c r="B7" s="2" t="s">
        <v>6</v>
      </c>
      <c r="C7" s="25" t="s">
        <v>23</v>
      </c>
      <c r="D7" s="5" t="s">
        <v>25</v>
      </c>
      <c r="E7" s="7" t="s">
        <v>24</v>
      </c>
      <c r="F7" s="10" t="s">
        <v>22</v>
      </c>
    </row>
    <row r="8" spans="2:6" ht="28.8" x14ac:dyDescent="0.3">
      <c r="B8" s="2" t="s">
        <v>6</v>
      </c>
      <c r="C8" s="26" t="s">
        <v>27</v>
      </c>
      <c r="D8" s="5" t="s">
        <v>29</v>
      </c>
      <c r="E8" s="7" t="s">
        <v>28</v>
      </c>
      <c r="F8" s="10" t="s">
        <v>26</v>
      </c>
    </row>
    <row r="9" spans="2:6" ht="43.2" x14ac:dyDescent="0.3">
      <c r="B9" s="2" t="s">
        <v>6</v>
      </c>
      <c r="C9" s="26" t="s">
        <v>31</v>
      </c>
      <c r="D9" s="5" t="s">
        <v>33</v>
      </c>
      <c r="E9" s="7" t="s">
        <v>32</v>
      </c>
      <c r="F9" s="10" t="s">
        <v>30</v>
      </c>
    </row>
    <row r="10" spans="2:6" ht="57.6" x14ac:dyDescent="0.3">
      <c r="B10" s="2" t="s">
        <v>6</v>
      </c>
      <c r="C10" s="26" t="s">
        <v>35</v>
      </c>
      <c r="D10" s="5" t="s">
        <v>37</v>
      </c>
      <c r="E10" s="7" t="s">
        <v>36</v>
      </c>
      <c r="F10" s="10" t="s">
        <v>34</v>
      </c>
    </row>
    <row r="11" spans="2:6" ht="72" x14ac:dyDescent="0.3">
      <c r="B11" s="2" t="s">
        <v>6</v>
      </c>
      <c r="C11" s="26" t="s">
        <v>39</v>
      </c>
      <c r="D11" s="5" t="s">
        <v>41</v>
      </c>
      <c r="E11" s="7" t="s">
        <v>40</v>
      </c>
      <c r="F11" s="10" t="s">
        <v>38</v>
      </c>
    </row>
    <row r="12" spans="2:6" ht="43.2" x14ac:dyDescent="0.3">
      <c r="B12" s="2" t="s">
        <v>6</v>
      </c>
      <c r="C12" s="26" t="s">
        <v>43</v>
      </c>
      <c r="D12" s="5" t="s">
        <v>45</v>
      </c>
      <c r="E12" s="7" t="s">
        <v>44</v>
      </c>
      <c r="F12" s="10" t="s">
        <v>42</v>
      </c>
    </row>
    <row r="13" spans="2:6" ht="43.2" x14ac:dyDescent="0.3">
      <c r="B13" s="2" t="s">
        <v>47</v>
      </c>
      <c r="C13" s="25" t="s">
        <v>48</v>
      </c>
      <c r="D13" s="5" t="s">
        <v>50</v>
      </c>
      <c r="E13" s="8" t="s">
        <v>49</v>
      </c>
      <c r="F13" s="10" t="s">
        <v>46</v>
      </c>
    </row>
    <row r="14" spans="2:6" ht="43.2" x14ac:dyDescent="0.3">
      <c r="B14" s="2" t="s">
        <v>47</v>
      </c>
      <c r="C14" s="25" t="s">
        <v>52</v>
      </c>
      <c r="D14" s="5" t="s">
        <v>54</v>
      </c>
      <c r="E14" s="8" t="s">
        <v>53</v>
      </c>
      <c r="F14" s="10" t="s">
        <v>51</v>
      </c>
    </row>
    <row r="15" spans="2:6" ht="43.2" x14ac:dyDescent="0.3">
      <c r="B15" s="2" t="s">
        <v>47</v>
      </c>
      <c r="C15" s="26" t="s">
        <v>56</v>
      </c>
      <c r="D15" s="5" t="s">
        <v>58</v>
      </c>
      <c r="E15" s="8" t="s">
        <v>57</v>
      </c>
      <c r="F15" s="10" t="s">
        <v>55</v>
      </c>
    </row>
    <row r="16" spans="2:6" ht="28.8" x14ac:dyDescent="0.3">
      <c r="B16" s="2" t="s">
        <v>47</v>
      </c>
      <c r="C16" s="25" t="s">
        <v>60</v>
      </c>
      <c r="D16" s="5" t="s">
        <v>62</v>
      </c>
      <c r="E16" s="8" t="s">
        <v>61</v>
      </c>
      <c r="F16" s="10" t="s">
        <v>59</v>
      </c>
    </row>
    <row r="17" spans="2:6" ht="28.8" x14ac:dyDescent="0.3">
      <c r="B17" s="2" t="s">
        <v>47</v>
      </c>
      <c r="C17" s="25" t="s">
        <v>64</v>
      </c>
      <c r="D17" s="5" t="s">
        <v>66</v>
      </c>
      <c r="E17" s="8" t="s">
        <v>65</v>
      </c>
      <c r="F17" s="10" t="s">
        <v>63</v>
      </c>
    </row>
    <row r="18" spans="2:6" ht="28.8" x14ac:dyDescent="0.3">
      <c r="B18" s="2" t="s">
        <v>68</v>
      </c>
      <c r="C18" s="25" t="s">
        <v>69</v>
      </c>
      <c r="D18" s="5" t="s">
        <v>71</v>
      </c>
      <c r="E18" s="7" t="s">
        <v>70</v>
      </c>
      <c r="F18" s="10" t="s">
        <v>67</v>
      </c>
    </row>
    <row r="19" spans="2:6" ht="86.4" x14ac:dyDescent="0.3">
      <c r="B19" s="2" t="s">
        <v>68</v>
      </c>
      <c r="C19" s="26" t="s">
        <v>73</v>
      </c>
      <c r="D19" s="5" t="s">
        <v>75</v>
      </c>
      <c r="E19" s="7" t="s">
        <v>74</v>
      </c>
      <c r="F19" s="10" t="s">
        <v>72</v>
      </c>
    </row>
    <row r="20" spans="2:6" ht="86.4" x14ac:dyDescent="0.3">
      <c r="B20" s="2" t="s">
        <v>68</v>
      </c>
      <c r="C20" s="26" t="s">
        <v>77</v>
      </c>
      <c r="D20" s="5" t="s">
        <v>79</v>
      </c>
      <c r="E20" s="7" t="s">
        <v>78</v>
      </c>
      <c r="F20" s="10" t="s">
        <v>76</v>
      </c>
    </row>
    <row r="21" spans="2:6" ht="72" x14ac:dyDescent="0.3">
      <c r="B21" s="2" t="s">
        <v>68</v>
      </c>
      <c r="C21" s="26" t="s">
        <v>81</v>
      </c>
      <c r="D21" s="5" t="s">
        <v>83</v>
      </c>
      <c r="E21" s="8" t="s">
        <v>82</v>
      </c>
      <c r="F21" s="10" t="s">
        <v>80</v>
      </c>
    </row>
    <row r="22" spans="2:6" ht="43.2" x14ac:dyDescent="0.3">
      <c r="B22" s="2" t="s">
        <v>68</v>
      </c>
      <c r="C22" s="26" t="s">
        <v>85</v>
      </c>
      <c r="D22" s="5" t="s">
        <v>87</v>
      </c>
      <c r="E22" s="7" t="s">
        <v>86</v>
      </c>
      <c r="F22" s="10" t="s">
        <v>84</v>
      </c>
    </row>
    <row r="23" spans="2:6" ht="57.6" x14ac:dyDescent="0.3">
      <c r="B23" s="2" t="s">
        <v>68</v>
      </c>
      <c r="C23" s="26" t="s">
        <v>89</v>
      </c>
      <c r="D23" s="5" t="s">
        <v>91</v>
      </c>
      <c r="E23" s="7" t="s">
        <v>90</v>
      </c>
      <c r="F23" s="10" t="s">
        <v>88</v>
      </c>
    </row>
    <row r="24" spans="2:6" ht="57.6" x14ac:dyDescent="0.3">
      <c r="B24" s="2" t="s">
        <v>68</v>
      </c>
      <c r="C24" s="25" t="s">
        <v>93</v>
      </c>
      <c r="D24" s="5" t="s">
        <v>95</v>
      </c>
      <c r="E24" s="7" t="s">
        <v>94</v>
      </c>
      <c r="F24" s="10" t="s">
        <v>92</v>
      </c>
    </row>
    <row r="25" spans="2:6" ht="43.2" x14ac:dyDescent="0.3">
      <c r="B25" s="2" t="s">
        <v>68</v>
      </c>
      <c r="C25" s="26" t="s">
        <v>97</v>
      </c>
      <c r="D25" s="5" t="s">
        <v>99</v>
      </c>
      <c r="E25" s="7" t="s">
        <v>98</v>
      </c>
      <c r="F25" s="10" t="s">
        <v>96</v>
      </c>
    </row>
    <row r="26" spans="2:6" ht="72" x14ac:dyDescent="0.3">
      <c r="B26" s="2" t="s">
        <v>68</v>
      </c>
      <c r="C26" s="26" t="s">
        <v>101</v>
      </c>
      <c r="D26" s="5" t="s">
        <v>103</v>
      </c>
      <c r="E26" s="7" t="s">
        <v>102</v>
      </c>
      <c r="F26" s="10" t="s">
        <v>100</v>
      </c>
    </row>
    <row r="27" spans="2:6" ht="57.6" x14ac:dyDescent="0.3">
      <c r="B27" s="2" t="s">
        <v>68</v>
      </c>
      <c r="C27" s="26" t="s">
        <v>105</v>
      </c>
      <c r="D27" s="5" t="s">
        <v>107</v>
      </c>
      <c r="E27" s="7" t="s">
        <v>106</v>
      </c>
      <c r="F27" s="10" t="s">
        <v>104</v>
      </c>
    </row>
    <row r="28" spans="2:6" ht="72" x14ac:dyDescent="0.3">
      <c r="B28" s="2" t="s">
        <v>68</v>
      </c>
      <c r="C28" s="26" t="s">
        <v>109</v>
      </c>
      <c r="D28" s="5" t="s">
        <v>111</v>
      </c>
      <c r="E28" s="7" t="s">
        <v>110</v>
      </c>
      <c r="F28" s="10" t="s">
        <v>108</v>
      </c>
    </row>
    <row r="29" spans="2:6" ht="28.8" x14ac:dyDescent="0.3">
      <c r="B29" s="2" t="s">
        <v>113</v>
      </c>
      <c r="C29" s="26" t="s">
        <v>114</v>
      </c>
      <c r="D29" s="5" t="s">
        <v>116</v>
      </c>
      <c r="E29" s="7" t="s">
        <v>115</v>
      </c>
      <c r="F29" s="10" t="s">
        <v>112</v>
      </c>
    </row>
    <row r="30" spans="2:6" ht="72" x14ac:dyDescent="0.3">
      <c r="B30" s="2" t="s">
        <v>113</v>
      </c>
      <c r="C30" s="26" t="s">
        <v>118</v>
      </c>
      <c r="D30" s="5" t="s">
        <v>120</v>
      </c>
      <c r="E30" s="7" t="s">
        <v>119</v>
      </c>
      <c r="F30" s="10" t="s">
        <v>117</v>
      </c>
    </row>
    <row r="31" spans="2:6" ht="57.6" x14ac:dyDescent="0.3">
      <c r="B31" s="2" t="s">
        <v>113</v>
      </c>
      <c r="C31" s="26" t="s">
        <v>122</v>
      </c>
      <c r="D31" s="5" t="s">
        <v>124</v>
      </c>
      <c r="E31" s="7" t="s">
        <v>123</v>
      </c>
      <c r="F31" s="10" t="s">
        <v>121</v>
      </c>
    </row>
    <row r="32" spans="2:6" ht="43.2" x14ac:dyDescent="0.3">
      <c r="B32" s="2" t="s">
        <v>113</v>
      </c>
      <c r="C32" s="26" t="s">
        <v>126</v>
      </c>
      <c r="D32" s="5" t="s">
        <v>128</v>
      </c>
      <c r="E32" s="7" t="s">
        <v>127</v>
      </c>
      <c r="F32" s="10" t="s">
        <v>125</v>
      </c>
    </row>
    <row r="33" spans="2:6" ht="86.4" x14ac:dyDescent="0.3">
      <c r="B33" s="2" t="s">
        <v>113</v>
      </c>
      <c r="C33" s="27" t="s">
        <v>130</v>
      </c>
      <c r="D33" s="5" t="s">
        <v>132</v>
      </c>
      <c r="E33" s="7" t="s">
        <v>131</v>
      </c>
      <c r="F33" s="10" t="s">
        <v>129</v>
      </c>
    </row>
    <row r="34" spans="2:6" ht="86.4" x14ac:dyDescent="0.3">
      <c r="B34" s="3" t="s">
        <v>113</v>
      </c>
      <c r="C34" s="27" t="s">
        <v>134</v>
      </c>
      <c r="D34" s="5" t="s">
        <v>136</v>
      </c>
      <c r="E34" s="7" t="s">
        <v>135</v>
      </c>
      <c r="F34" s="11" t="s">
        <v>133</v>
      </c>
    </row>
    <row r="35" spans="2:6" ht="86.4" x14ac:dyDescent="0.3">
      <c r="B35" s="3" t="s">
        <v>113</v>
      </c>
      <c r="C35" s="26" t="s">
        <v>138</v>
      </c>
      <c r="D35" s="5" t="s">
        <v>140</v>
      </c>
      <c r="E35" s="7" t="s">
        <v>139</v>
      </c>
      <c r="F35" s="11" t="s">
        <v>137</v>
      </c>
    </row>
    <row r="36" spans="2:6" ht="43.2" x14ac:dyDescent="0.3">
      <c r="B36" s="3" t="s">
        <v>113</v>
      </c>
      <c r="C36" s="26" t="s">
        <v>142</v>
      </c>
      <c r="D36" s="5" t="s">
        <v>144</v>
      </c>
      <c r="E36" s="7" t="s">
        <v>143</v>
      </c>
      <c r="F36" s="11" t="s">
        <v>141</v>
      </c>
    </row>
    <row r="37" spans="2:6" ht="57.6" x14ac:dyDescent="0.3">
      <c r="B37" s="2" t="s">
        <v>146</v>
      </c>
      <c r="C37" s="27" t="s">
        <v>147</v>
      </c>
      <c r="D37" s="5" t="s">
        <v>149</v>
      </c>
      <c r="E37" s="7" t="s">
        <v>148</v>
      </c>
      <c r="F37" s="10" t="s">
        <v>145</v>
      </c>
    </row>
    <row r="38" spans="2:6" ht="57.6" x14ac:dyDescent="0.3">
      <c r="B38" s="2" t="s">
        <v>146</v>
      </c>
      <c r="C38" s="26" t="s">
        <v>151</v>
      </c>
      <c r="D38" s="5" t="s">
        <v>153</v>
      </c>
      <c r="E38" s="7" t="s">
        <v>152</v>
      </c>
      <c r="F38" s="10" t="s">
        <v>150</v>
      </c>
    </row>
    <row r="39" spans="2:6" ht="57.6" x14ac:dyDescent="0.3">
      <c r="B39" s="2" t="s">
        <v>146</v>
      </c>
      <c r="C39" s="26" t="s">
        <v>155</v>
      </c>
      <c r="D39" s="5" t="s">
        <v>157</v>
      </c>
      <c r="E39" s="7" t="s">
        <v>156</v>
      </c>
      <c r="F39" s="10" t="s">
        <v>154</v>
      </c>
    </row>
    <row r="40" spans="2:6" ht="43.2" x14ac:dyDescent="0.3">
      <c r="B40" s="3" t="s">
        <v>146</v>
      </c>
      <c r="C40" s="25" t="s">
        <v>159</v>
      </c>
      <c r="D40" s="5" t="s">
        <v>161</v>
      </c>
      <c r="E40" s="7" t="s">
        <v>160</v>
      </c>
      <c r="F40" s="10" t="s">
        <v>158</v>
      </c>
    </row>
    <row r="41" spans="2:6" ht="115.2" x14ac:dyDescent="0.3">
      <c r="B41" s="3" t="s">
        <v>146</v>
      </c>
      <c r="C41" s="26" t="s">
        <v>163</v>
      </c>
      <c r="D41" s="5" t="s">
        <v>165</v>
      </c>
      <c r="E41" s="7" t="s">
        <v>164</v>
      </c>
      <c r="F41" s="12" t="s">
        <v>162</v>
      </c>
    </row>
    <row r="42" spans="2:6" ht="43.2" x14ac:dyDescent="0.3">
      <c r="B42" s="2" t="s">
        <v>167</v>
      </c>
      <c r="C42" s="25" t="s">
        <v>168</v>
      </c>
      <c r="D42" s="5" t="s">
        <v>170</v>
      </c>
      <c r="E42" s="7" t="s">
        <v>169</v>
      </c>
      <c r="F42" s="10" t="s">
        <v>166</v>
      </c>
    </row>
    <row r="43" spans="2:6" ht="43.2" x14ac:dyDescent="0.3">
      <c r="B43" s="2" t="s">
        <v>167</v>
      </c>
      <c r="C43" s="25" t="s">
        <v>172</v>
      </c>
      <c r="D43" s="5" t="s">
        <v>174</v>
      </c>
      <c r="E43" s="7" t="s">
        <v>173</v>
      </c>
      <c r="F43" s="10" t="s">
        <v>171</v>
      </c>
    </row>
    <row r="44" spans="2:6" ht="28.8" x14ac:dyDescent="0.3">
      <c r="B44" s="2" t="s">
        <v>167</v>
      </c>
      <c r="C44" s="25" t="s">
        <v>176</v>
      </c>
      <c r="D44" s="5" t="s">
        <v>178</v>
      </c>
      <c r="E44" s="7" t="s">
        <v>177</v>
      </c>
      <c r="F44" s="10" t="s">
        <v>175</v>
      </c>
    </row>
    <row r="45" spans="2:6" ht="72" x14ac:dyDescent="0.3">
      <c r="B45" s="2" t="s">
        <v>167</v>
      </c>
      <c r="C45" s="27" t="s">
        <v>180</v>
      </c>
      <c r="D45" s="5" t="s">
        <v>182</v>
      </c>
      <c r="E45" s="7" t="s">
        <v>181</v>
      </c>
      <c r="F45" s="10" t="s">
        <v>179</v>
      </c>
    </row>
    <row r="46" spans="2:6" ht="43.2" x14ac:dyDescent="0.3">
      <c r="B46" s="2" t="s">
        <v>167</v>
      </c>
      <c r="C46" s="26" t="s">
        <v>184</v>
      </c>
      <c r="D46" s="5" t="s">
        <v>186</v>
      </c>
      <c r="E46" s="7" t="s">
        <v>185</v>
      </c>
      <c r="F46" s="10" t="s">
        <v>183</v>
      </c>
    </row>
    <row r="47" spans="2:6" ht="43.2" x14ac:dyDescent="0.3">
      <c r="B47" s="2" t="s">
        <v>167</v>
      </c>
      <c r="C47" s="26" t="s">
        <v>188</v>
      </c>
      <c r="D47" s="5" t="s">
        <v>190</v>
      </c>
      <c r="E47" s="7" t="s">
        <v>189</v>
      </c>
      <c r="F47" s="10" t="s">
        <v>187</v>
      </c>
    </row>
    <row r="48" spans="2:6" ht="72" x14ac:dyDescent="0.3">
      <c r="B48" s="2" t="s">
        <v>192</v>
      </c>
      <c r="C48" s="26" t="s">
        <v>193</v>
      </c>
      <c r="D48" s="5" t="s">
        <v>195</v>
      </c>
      <c r="E48" s="7" t="s">
        <v>194</v>
      </c>
      <c r="F48" s="10" t="s">
        <v>191</v>
      </c>
    </row>
    <row r="49" spans="2:6" ht="28.8" x14ac:dyDescent="0.3">
      <c r="B49" s="2" t="s">
        <v>192</v>
      </c>
      <c r="C49" s="26" t="s">
        <v>197</v>
      </c>
      <c r="D49" s="5" t="s">
        <v>199</v>
      </c>
      <c r="E49" s="7" t="s">
        <v>198</v>
      </c>
      <c r="F49" s="10" t="s">
        <v>196</v>
      </c>
    </row>
    <row r="50" spans="2:6" ht="57.6" x14ac:dyDescent="0.3">
      <c r="B50" s="2" t="s">
        <v>192</v>
      </c>
      <c r="C50" s="26" t="s">
        <v>201</v>
      </c>
      <c r="D50" s="5" t="s">
        <v>203</v>
      </c>
      <c r="E50" s="7" t="s">
        <v>202</v>
      </c>
      <c r="F50" s="10" t="s">
        <v>200</v>
      </c>
    </row>
    <row r="51" spans="2:6" ht="57.6" x14ac:dyDescent="0.3">
      <c r="B51" s="2" t="s">
        <v>192</v>
      </c>
      <c r="C51" s="26" t="s">
        <v>205</v>
      </c>
      <c r="D51" s="5" t="s">
        <v>207</v>
      </c>
      <c r="E51" s="7" t="s">
        <v>206</v>
      </c>
      <c r="F51" s="10" t="s">
        <v>204</v>
      </c>
    </row>
    <row r="52" spans="2:6" ht="28.8" x14ac:dyDescent="0.3">
      <c r="B52" s="2" t="s">
        <v>209</v>
      </c>
      <c r="C52" s="26" t="s">
        <v>210</v>
      </c>
      <c r="D52" s="5" t="s">
        <v>212</v>
      </c>
      <c r="E52" s="7" t="s">
        <v>211</v>
      </c>
      <c r="F52" s="10" t="s">
        <v>208</v>
      </c>
    </row>
    <row r="53" spans="2:6" ht="86.4" x14ac:dyDescent="0.3">
      <c r="B53" s="2" t="s">
        <v>209</v>
      </c>
      <c r="C53" s="26" t="s">
        <v>214</v>
      </c>
      <c r="D53" s="5" t="s">
        <v>216</v>
      </c>
      <c r="E53" s="7" t="s">
        <v>215</v>
      </c>
      <c r="F53" s="13" t="s">
        <v>213</v>
      </c>
    </row>
    <row r="54" spans="2:6" ht="86.4" x14ac:dyDescent="0.3">
      <c r="B54" s="2" t="s">
        <v>209</v>
      </c>
      <c r="C54" s="27" t="s">
        <v>218</v>
      </c>
      <c r="D54" s="5" t="s">
        <v>220</v>
      </c>
      <c r="E54" s="7" t="s">
        <v>219</v>
      </c>
      <c r="F54" s="14" t="s">
        <v>217</v>
      </c>
    </row>
    <row r="55" spans="2:6" ht="28.8" x14ac:dyDescent="0.3">
      <c r="B55" s="2" t="s">
        <v>209</v>
      </c>
      <c r="C55" s="25" t="s">
        <v>222</v>
      </c>
      <c r="D55" s="5" t="s">
        <v>224</v>
      </c>
      <c r="E55" s="7" t="s">
        <v>223</v>
      </c>
      <c r="F55" s="10" t="s">
        <v>221</v>
      </c>
    </row>
    <row r="56" spans="2:6" ht="43.2" x14ac:dyDescent="0.3">
      <c r="B56" s="2" t="s">
        <v>209</v>
      </c>
      <c r="C56" s="26" t="s">
        <v>226</v>
      </c>
      <c r="D56" s="5" t="s">
        <v>228</v>
      </c>
      <c r="E56" s="7" t="s">
        <v>227</v>
      </c>
      <c r="F56" s="10" t="s">
        <v>225</v>
      </c>
    </row>
    <row r="57" spans="2:6" ht="43.2" x14ac:dyDescent="0.3">
      <c r="B57" s="2" t="s">
        <v>209</v>
      </c>
      <c r="C57" s="25" t="s">
        <v>230</v>
      </c>
      <c r="D57" s="5" t="s">
        <v>232</v>
      </c>
      <c r="E57" s="7" t="s">
        <v>231</v>
      </c>
      <c r="F57" s="10" t="s">
        <v>229</v>
      </c>
    </row>
    <row r="58" spans="2:6" ht="72" x14ac:dyDescent="0.3">
      <c r="B58" s="2" t="s">
        <v>209</v>
      </c>
      <c r="C58" s="25" t="s">
        <v>234</v>
      </c>
      <c r="D58" s="5" t="s">
        <v>236</v>
      </c>
      <c r="E58" s="7" t="s">
        <v>235</v>
      </c>
      <c r="F58" s="10" t="s">
        <v>233</v>
      </c>
    </row>
    <row r="59" spans="2:6" ht="28.8" x14ac:dyDescent="0.3">
      <c r="B59" s="2" t="s">
        <v>209</v>
      </c>
      <c r="C59" s="26" t="s">
        <v>238</v>
      </c>
      <c r="D59" s="5" t="s">
        <v>240</v>
      </c>
      <c r="E59" s="7" t="s">
        <v>239</v>
      </c>
      <c r="F59" s="10" t="s">
        <v>237</v>
      </c>
    </row>
    <row r="60" spans="2:6" ht="57.6" x14ac:dyDescent="0.3">
      <c r="B60" s="2" t="s">
        <v>209</v>
      </c>
      <c r="C60" s="26" t="s">
        <v>242</v>
      </c>
      <c r="D60" s="5" t="s">
        <v>244</v>
      </c>
      <c r="E60" s="7" t="s">
        <v>243</v>
      </c>
      <c r="F60" s="10" t="s">
        <v>241</v>
      </c>
    </row>
    <row r="61" spans="2:6" ht="28.8" x14ac:dyDescent="0.3">
      <c r="B61" s="3" t="s">
        <v>209</v>
      </c>
      <c r="C61" s="26" t="s">
        <v>246</v>
      </c>
      <c r="D61" s="5" t="s">
        <v>248</v>
      </c>
      <c r="E61" s="7" t="s">
        <v>247</v>
      </c>
      <c r="F61" s="15" t="s">
        <v>245</v>
      </c>
    </row>
    <row r="62" spans="2:6" ht="43.2" x14ac:dyDescent="0.3">
      <c r="B62" s="2" t="s">
        <v>250</v>
      </c>
      <c r="C62" s="25" t="s">
        <v>251</v>
      </c>
      <c r="D62" s="5" t="s">
        <v>253</v>
      </c>
      <c r="E62" s="7" t="s">
        <v>252</v>
      </c>
      <c r="F62" s="10" t="s">
        <v>249</v>
      </c>
    </row>
    <row r="63" spans="2:6" ht="43.2" x14ac:dyDescent="0.3">
      <c r="B63" s="2" t="s">
        <v>250</v>
      </c>
      <c r="C63" s="25" t="s">
        <v>255</v>
      </c>
      <c r="D63" s="5" t="s">
        <v>257</v>
      </c>
      <c r="E63" s="7" t="s">
        <v>256</v>
      </c>
      <c r="F63" s="10" t="s">
        <v>254</v>
      </c>
    </row>
    <row r="64" spans="2:6" ht="57.6" x14ac:dyDescent="0.3">
      <c r="B64" s="2" t="s">
        <v>250</v>
      </c>
      <c r="C64" s="25" t="s">
        <v>259</v>
      </c>
      <c r="D64" s="5" t="s">
        <v>261</v>
      </c>
      <c r="E64" s="7" t="s">
        <v>260</v>
      </c>
      <c r="F64" s="10" t="s">
        <v>258</v>
      </c>
    </row>
    <row r="65" spans="2:6" ht="57.6" x14ac:dyDescent="0.3">
      <c r="B65" s="2" t="s">
        <v>250</v>
      </c>
      <c r="C65" s="27" t="s">
        <v>263</v>
      </c>
      <c r="D65" s="5" t="s">
        <v>265</v>
      </c>
      <c r="E65" s="7" t="s">
        <v>264</v>
      </c>
      <c r="F65" s="10" t="s">
        <v>262</v>
      </c>
    </row>
    <row r="66" spans="2:6" ht="28.8" x14ac:dyDescent="0.3">
      <c r="B66" s="2" t="s">
        <v>250</v>
      </c>
      <c r="C66" s="26" t="s">
        <v>267</v>
      </c>
      <c r="D66" s="5" t="s">
        <v>269</v>
      </c>
      <c r="E66" s="7" t="s">
        <v>268</v>
      </c>
      <c r="F66" s="10" t="s">
        <v>266</v>
      </c>
    </row>
    <row r="67" spans="2:6" ht="72" x14ac:dyDescent="0.3">
      <c r="B67" s="2" t="s">
        <v>250</v>
      </c>
      <c r="C67" s="27" t="s">
        <v>271</v>
      </c>
      <c r="D67" s="5" t="s">
        <v>273</v>
      </c>
      <c r="E67" s="7" t="s">
        <v>272</v>
      </c>
      <c r="F67" s="10" t="s">
        <v>270</v>
      </c>
    </row>
    <row r="68" spans="2:6" ht="28.8" x14ac:dyDescent="0.3">
      <c r="B68" s="2" t="s">
        <v>250</v>
      </c>
      <c r="C68" s="25" t="s">
        <v>275</v>
      </c>
      <c r="D68" s="5" t="s">
        <v>277</v>
      </c>
      <c r="E68" s="7" t="s">
        <v>276</v>
      </c>
      <c r="F68" s="10" t="s">
        <v>274</v>
      </c>
    </row>
    <row r="69" spans="2:6" ht="57.6" x14ac:dyDescent="0.3">
      <c r="B69" s="2" t="s">
        <v>250</v>
      </c>
      <c r="C69" s="26" t="s">
        <v>279</v>
      </c>
      <c r="D69" s="5" t="s">
        <v>281</v>
      </c>
      <c r="E69" s="7" t="s">
        <v>280</v>
      </c>
      <c r="F69" s="10" t="s">
        <v>278</v>
      </c>
    </row>
    <row r="70" spans="2:6" ht="57.6" x14ac:dyDescent="0.3">
      <c r="B70" s="2" t="s">
        <v>250</v>
      </c>
      <c r="C70" s="26" t="s">
        <v>283</v>
      </c>
      <c r="D70" s="5" t="s">
        <v>285</v>
      </c>
      <c r="E70" s="7" t="s">
        <v>284</v>
      </c>
      <c r="F70" s="10" t="s">
        <v>282</v>
      </c>
    </row>
    <row r="71" spans="2:6" ht="57.6" x14ac:dyDescent="0.3">
      <c r="B71" s="2" t="s">
        <v>250</v>
      </c>
      <c r="C71" s="26" t="s">
        <v>287</v>
      </c>
      <c r="D71" s="5" t="s">
        <v>289</v>
      </c>
      <c r="E71" s="7" t="s">
        <v>288</v>
      </c>
      <c r="F71" s="10" t="s">
        <v>286</v>
      </c>
    </row>
    <row r="72" spans="2:6" ht="43.2" x14ac:dyDescent="0.3">
      <c r="B72" s="2" t="s">
        <v>250</v>
      </c>
      <c r="C72" s="25" t="s">
        <v>291</v>
      </c>
      <c r="D72" s="5" t="s">
        <v>293</v>
      </c>
      <c r="E72" s="7" t="s">
        <v>292</v>
      </c>
      <c r="F72" s="10" t="s">
        <v>290</v>
      </c>
    </row>
    <row r="73" spans="2:6" ht="57.6" x14ac:dyDescent="0.3">
      <c r="B73" s="2" t="s">
        <v>250</v>
      </c>
      <c r="C73" s="26" t="s">
        <v>295</v>
      </c>
      <c r="D73" s="5" t="s">
        <v>297</v>
      </c>
      <c r="E73" s="7" t="s">
        <v>296</v>
      </c>
      <c r="F73" s="10" t="s">
        <v>294</v>
      </c>
    </row>
    <row r="74" spans="2:6" ht="43.2" x14ac:dyDescent="0.3">
      <c r="B74" s="2" t="s">
        <v>250</v>
      </c>
      <c r="C74" s="26" t="s">
        <v>299</v>
      </c>
      <c r="D74" s="5" t="s">
        <v>301</v>
      </c>
      <c r="E74" s="7" t="s">
        <v>300</v>
      </c>
      <c r="F74" s="10" t="s">
        <v>298</v>
      </c>
    </row>
    <row r="75" spans="2:6" ht="100.8" x14ac:dyDescent="0.3">
      <c r="B75" s="2" t="s">
        <v>250</v>
      </c>
      <c r="C75" s="27" t="s">
        <v>303</v>
      </c>
      <c r="D75" s="5" t="s">
        <v>305</v>
      </c>
      <c r="E75" s="7" t="s">
        <v>304</v>
      </c>
      <c r="F75" s="10" t="s">
        <v>302</v>
      </c>
    </row>
    <row r="76" spans="2:6" ht="57.6" x14ac:dyDescent="0.3">
      <c r="B76" s="2" t="s">
        <v>306</v>
      </c>
      <c r="C76" s="27" t="s">
        <v>180</v>
      </c>
      <c r="D76" s="5" t="s">
        <v>307</v>
      </c>
      <c r="E76" s="7" t="s">
        <v>181</v>
      </c>
      <c r="F76" s="10" t="s">
        <v>179</v>
      </c>
    </row>
    <row r="77" spans="2:6" ht="43.2" x14ac:dyDescent="0.3">
      <c r="B77" s="2" t="s">
        <v>306</v>
      </c>
      <c r="C77" s="26" t="s">
        <v>309</v>
      </c>
      <c r="D77" s="5" t="s">
        <v>311</v>
      </c>
      <c r="E77" s="7" t="s">
        <v>310</v>
      </c>
      <c r="F77" s="10" t="s">
        <v>308</v>
      </c>
    </row>
    <row r="78" spans="2:6" ht="72" x14ac:dyDescent="0.3">
      <c r="B78" s="2" t="s">
        <v>306</v>
      </c>
      <c r="C78" s="27" t="s">
        <v>313</v>
      </c>
      <c r="D78" s="5" t="s">
        <v>315</v>
      </c>
      <c r="E78" s="8" t="s">
        <v>314</v>
      </c>
      <c r="F78" s="10" t="s">
        <v>312</v>
      </c>
    </row>
    <row r="79" spans="2:6" x14ac:dyDescent="0.25">
      <c r="F79" s="16"/>
    </row>
    <row r="80" spans="2:6" x14ac:dyDescent="0.25">
      <c r="F80" s="16"/>
    </row>
    <row r="81" spans="6:6" x14ac:dyDescent="0.25">
      <c r="F81" s="16"/>
    </row>
    <row r="82" spans="6:6" x14ac:dyDescent="0.25">
      <c r="F82" s="16"/>
    </row>
    <row r="83" spans="6:6" x14ac:dyDescent="0.25">
      <c r="F83" s="16"/>
    </row>
    <row r="84" spans="6:6" x14ac:dyDescent="0.25">
      <c r="F84" s="16"/>
    </row>
    <row r="85" spans="6:6" x14ac:dyDescent="0.25">
      <c r="F85" s="16"/>
    </row>
    <row r="86" spans="6:6" x14ac:dyDescent="0.25">
      <c r="F86" s="16"/>
    </row>
    <row r="87" spans="6:6" x14ac:dyDescent="0.25">
      <c r="F87" s="16"/>
    </row>
    <row r="88" spans="6:6" x14ac:dyDescent="0.25">
      <c r="F88" s="16"/>
    </row>
    <row r="89" spans="6:6" x14ac:dyDescent="0.25">
      <c r="F89" s="16"/>
    </row>
    <row r="90" spans="6:6" x14ac:dyDescent="0.25">
      <c r="F90" s="16"/>
    </row>
    <row r="91" spans="6:6" x14ac:dyDescent="0.25">
      <c r="F91" s="16"/>
    </row>
    <row r="92" spans="6:6" x14ac:dyDescent="0.25">
      <c r="F92" s="16"/>
    </row>
    <row r="93" spans="6:6" x14ac:dyDescent="0.25">
      <c r="F93" s="16"/>
    </row>
    <row r="94" spans="6:6" x14ac:dyDescent="0.25">
      <c r="F94" s="16"/>
    </row>
    <row r="95" spans="6:6" x14ac:dyDescent="0.25">
      <c r="F95" s="16"/>
    </row>
    <row r="96" spans="6:6" x14ac:dyDescent="0.25">
      <c r="F96" s="16"/>
    </row>
    <row r="97" spans="6:6" x14ac:dyDescent="0.25">
      <c r="F97" s="16"/>
    </row>
    <row r="98" spans="6:6" x14ac:dyDescent="0.25">
      <c r="F98" s="16"/>
    </row>
    <row r="99" spans="6:6" x14ac:dyDescent="0.25">
      <c r="F99" s="16"/>
    </row>
    <row r="100" spans="6:6" x14ac:dyDescent="0.25">
      <c r="F100" s="16"/>
    </row>
    <row r="101" spans="6:6" x14ac:dyDescent="0.25">
      <c r="F101" s="16"/>
    </row>
    <row r="102" spans="6:6" x14ac:dyDescent="0.25">
      <c r="F102" s="16"/>
    </row>
    <row r="103" spans="6:6" x14ac:dyDescent="0.25">
      <c r="F103" s="16"/>
    </row>
    <row r="104" spans="6:6" x14ac:dyDescent="0.25">
      <c r="F104" s="16"/>
    </row>
    <row r="105" spans="6:6" x14ac:dyDescent="0.25">
      <c r="F105" s="16"/>
    </row>
    <row r="106" spans="6:6" x14ac:dyDescent="0.25">
      <c r="F106" s="16"/>
    </row>
    <row r="107" spans="6:6" x14ac:dyDescent="0.25">
      <c r="F107" s="16"/>
    </row>
    <row r="108" spans="6:6" x14ac:dyDescent="0.25">
      <c r="F108" s="16"/>
    </row>
    <row r="109" spans="6:6" x14ac:dyDescent="0.25">
      <c r="F109" s="16"/>
    </row>
    <row r="110" spans="6:6" x14ac:dyDescent="0.25">
      <c r="F110" s="16"/>
    </row>
    <row r="111" spans="6:6" x14ac:dyDescent="0.25">
      <c r="F111" s="16"/>
    </row>
    <row r="112" spans="6:6" x14ac:dyDescent="0.25">
      <c r="F112" s="16"/>
    </row>
    <row r="113" spans="6:6" x14ac:dyDescent="0.25">
      <c r="F113" s="16"/>
    </row>
    <row r="114" spans="6:6" x14ac:dyDescent="0.25">
      <c r="F114" s="16"/>
    </row>
    <row r="115" spans="6:6" x14ac:dyDescent="0.25">
      <c r="F115" s="16"/>
    </row>
    <row r="116" spans="6:6" x14ac:dyDescent="0.25">
      <c r="F116" s="16"/>
    </row>
    <row r="117" spans="6:6" x14ac:dyDescent="0.25">
      <c r="F117" s="16"/>
    </row>
    <row r="118" spans="6:6" x14ac:dyDescent="0.25">
      <c r="F118" s="16"/>
    </row>
    <row r="119" spans="6:6" x14ac:dyDescent="0.25">
      <c r="F119" s="16"/>
    </row>
    <row r="120" spans="6:6" x14ac:dyDescent="0.25">
      <c r="F120" s="16"/>
    </row>
    <row r="121" spans="6:6" x14ac:dyDescent="0.25">
      <c r="F121" s="16"/>
    </row>
    <row r="122" spans="6:6" x14ac:dyDescent="0.25">
      <c r="F122" s="16"/>
    </row>
    <row r="123" spans="6:6" x14ac:dyDescent="0.25">
      <c r="F123" s="16"/>
    </row>
    <row r="124" spans="6:6" x14ac:dyDescent="0.25">
      <c r="F124" s="16"/>
    </row>
    <row r="125" spans="6:6" x14ac:dyDescent="0.25">
      <c r="F125" s="16"/>
    </row>
    <row r="126" spans="6:6" x14ac:dyDescent="0.25">
      <c r="F126" s="16"/>
    </row>
    <row r="127" spans="6:6" x14ac:dyDescent="0.25">
      <c r="F127" s="16"/>
    </row>
    <row r="128" spans="6:6" x14ac:dyDescent="0.25">
      <c r="F128" s="16"/>
    </row>
    <row r="129" spans="6:6" x14ac:dyDescent="0.25">
      <c r="F129" s="16"/>
    </row>
    <row r="130" spans="6:6" x14ac:dyDescent="0.25">
      <c r="F130" s="16"/>
    </row>
    <row r="131" spans="6:6" x14ac:dyDescent="0.25">
      <c r="F131" s="16"/>
    </row>
    <row r="132" spans="6:6" x14ac:dyDescent="0.25">
      <c r="F132" s="16"/>
    </row>
    <row r="133" spans="6:6" x14ac:dyDescent="0.25">
      <c r="F133" s="16"/>
    </row>
    <row r="134" spans="6:6" x14ac:dyDescent="0.25">
      <c r="F134" s="16"/>
    </row>
    <row r="135" spans="6:6" x14ac:dyDescent="0.25">
      <c r="F135" s="16"/>
    </row>
    <row r="136" spans="6:6" x14ac:dyDescent="0.25">
      <c r="F136" s="16"/>
    </row>
    <row r="137" spans="6:6" x14ac:dyDescent="0.25">
      <c r="F137" s="16"/>
    </row>
    <row r="138" spans="6:6" x14ac:dyDescent="0.25">
      <c r="F138" s="16"/>
    </row>
    <row r="139" spans="6:6" x14ac:dyDescent="0.25">
      <c r="F139" s="16"/>
    </row>
    <row r="140" spans="6:6" x14ac:dyDescent="0.25">
      <c r="F140" s="16"/>
    </row>
    <row r="141" spans="6:6" x14ac:dyDescent="0.25">
      <c r="F141" s="16"/>
    </row>
    <row r="142" spans="6:6" x14ac:dyDescent="0.25">
      <c r="F142" s="16"/>
    </row>
    <row r="143" spans="6:6" x14ac:dyDescent="0.25">
      <c r="F143" s="16"/>
    </row>
    <row r="144" spans="6:6" x14ac:dyDescent="0.25">
      <c r="F144" s="16"/>
    </row>
    <row r="145" spans="6:6" x14ac:dyDescent="0.25">
      <c r="F145" s="16"/>
    </row>
    <row r="146" spans="6:6" x14ac:dyDescent="0.25">
      <c r="F146" s="16"/>
    </row>
    <row r="147" spans="6:6" x14ac:dyDescent="0.25">
      <c r="F147" s="16"/>
    </row>
    <row r="148" spans="6:6" x14ac:dyDescent="0.25">
      <c r="F148" s="16"/>
    </row>
    <row r="149" spans="6:6" x14ac:dyDescent="0.25">
      <c r="F149" s="16"/>
    </row>
    <row r="150" spans="6:6" x14ac:dyDescent="0.25">
      <c r="F150" s="16"/>
    </row>
    <row r="151" spans="6:6" x14ac:dyDescent="0.25">
      <c r="F151" s="16"/>
    </row>
    <row r="152" spans="6:6" x14ac:dyDescent="0.25">
      <c r="F152" s="16"/>
    </row>
    <row r="153" spans="6:6" x14ac:dyDescent="0.25">
      <c r="F153" s="16"/>
    </row>
    <row r="154" spans="6:6" x14ac:dyDescent="0.25">
      <c r="F154" s="16"/>
    </row>
    <row r="155" spans="6:6" x14ac:dyDescent="0.25">
      <c r="F155" s="16"/>
    </row>
    <row r="156" spans="6:6" x14ac:dyDescent="0.25">
      <c r="F156" s="16"/>
    </row>
    <row r="157" spans="6:6" x14ac:dyDescent="0.25">
      <c r="F157" s="16"/>
    </row>
    <row r="158" spans="6:6" x14ac:dyDescent="0.25">
      <c r="F158" s="16"/>
    </row>
    <row r="159" spans="6:6" x14ac:dyDescent="0.25">
      <c r="F159" s="16"/>
    </row>
    <row r="160" spans="6:6" x14ac:dyDescent="0.25">
      <c r="F160" s="16"/>
    </row>
    <row r="161" spans="6:6" x14ac:dyDescent="0.25">
      <c r="F161" s="16"/>
    </row>
    <row r="162" spans="6:6" x14ac:dyDescent="0.25">
      <c r="F162" s="16"/>
    </row>
    <row r="163" spans="6:6" x14ac:dyDescent="0.25">
      <c r="F163" s="16"/>
    </row>
    <row r="164" spans="6:6" x14ac:dyDescent="0.25">
      <c r="F164" s="16"/>
    </row>
    <row r="165" spans="6:6" x14ac:dyDescent="0.25">
      <c r="F165" s="16"/>
    </row>
    <row r="166" spans="6:6" x14ac:dyDescent="0.25">
      <c r="F166" s="16"/>
    </row>
    <row r="167" spans="6:6" x14ac:dyDescent="0.25">
      <c r="F167" s="16"/>
    </row>
    <row r="168" spans="6:6" x14ac:dyDescent="0.25">
      <c r="F168" s="16"/>
    </row>
    <row r="169" spans="6:6" x14ac:dyDescent="0.25">
      <c r="F169" s="16"/>
    </row>
    <row r="170" spans="6:6" x14ac:dyDescent="0.25">
      <c r="F170" s="16"/>
    </row>
    <row r="171" spans="6:6" x14ac:dyDescent="0.25">
      <c r="F171" s="16"/>
    </row>
    <row r="172" spans="6:6" x14ac:dyDescent="0.25">
      <c r="F172" s="16"/>
    </row>
    <row r="173" spans="6:6" x14ac:dyDescent="0.25">
      <c r="F173" s="16"/>
    </row>
    <row r="174" spans="6:6" x14ac:dyDescent="0.25">
      <c r="F174" s="16"/>
    </row>
    <row r="175" spans="6:6" x14ac:dyDescent="0.25">
      <c r="F175" s="16"/>
    </row>
    <row r="176" spans="6:6" x14ac:dyDescent="0.25">
      <c r="F176" s="16"/>
    </row>
    <row r="177" spans="6:6" x14ac:dyDescent="0.25">
      <c r="F177" s="16"/>
    </row>
    <row r="178" spans="6:6" x14ac:dyDescent="0.25">
      <c r="F178" s="16"/>
    </row>
    <row r="179" spans="6:6" x14ac:dyDescent="0.25">
      <c r="F179" s="16"/>
    </row>
    <row r="180" spans="6:6" x14ac:dyDescent="0.25">
      <c r="F180" s="16"/>
    </row>
    <row r="181" spans="6:6" x14ac:dyDescent="0.25">
      <c r="F181" s="16"/>
    </row>
    <row r="182" spans="6:6" x14ac:dyDescent="0.25">
      <c r="F182" s="16"/>
    </row>
    <row r="183" spans="6:6" x14ac:dyDescent="0.25">
      <c r="F183" s="16"/>
    </row>
    <row r="184" spans="6:6" x14ac:dyDescent="0.25">
      <c r="F184" s="16"/>
    </row>
    <row r="185" spans="6:6" x14ac:dyDescent="0.25">
      <c r="F185" s="16"/>
    </row>
    <row r="186" spans="6:6" x14ac:dyDescent="0.25">
      <c r="F186" s="16"/>
    </row>
    <row r="187" spans="6:6" x14ac:dyDescent="0.25">
      <c r="F187" s="16"/>
    </row>
    <row r="188" spans="6:6" x14ac:dyDescent="0.25">
      <c r="F188" s="16"/>
    </row>
    <row r="189" spans="6:6" x14ac:dyDescent="0.25">
      <c r="F189" s="16"/>
    </row>
    <row r="190" spans="6:6" x14ac:dyDescent="0.25">
      <c r="F190" s="16"/>
    </row>
    <row r="191" spans="6:6" x14ac:dyDescent="0.25">
      <c r="F191" s="16"/>
    </row>
    <row r="192" spans="6:6" x14ac:dyDescent="0.25">
      <c r="F192" s="16"/>
    </row>
    <row r="193" spans="6:6" x14ac:dyDescent="0.25">
      <c r="F193" s="16"/>
    </row>
    <row r="194" spans="6:6" x14ac:dyDescent="0.25">
      <c r="F194" s="16"/>
    </row>
    <row r="195" spans="6:6" x14ac:dyDescent="0.25">
      <c r="F195" s="16"/>
    </row>
    <row r="196" spans="6:6" x14ac:dyDescent="0.25">
      <c r="F196" s="16"/>
    </row>
    <row r="197" spans="6:6" x14ac:dyDescent="0.25">
      <c r="F197" s="16"/>
    </row>
    <row r="198" spans="6:6" x14ac:dyDescent="0.25">
      <c r="F198" s="16"/>
    </row>
    <row r="199" spans="6:6" x14ac:dyDescent="0.25">
      <c r="F199" s="16"/>
    </row>
    <row r="200" spans="6:6" x14ac:dyDescent="0.25">
      <c r="F200" s="16"/>
    </row>
    <row r="201" spans="6:6" x14ac:dyDescent="0.25">
      <c r="F201" s="16"/>
    </row>
    <row r="202" spans="6:6" x14ac:dyDescent="0.25">
      <c r="F202" s="16"/>
    </row>
    <row r="203" spans="6:6" x14ac:dyDescent="0.25">
      <c r="F203" s="16"/>
    </row>
    <row r="204" spans="6:6" x14ac:dyDescent="0.25">
      <c r="F204" s="16"/>
    </row>
    <row r="205" spans="6:6" x14ac:dyDescent="0.25">
      <c r="F205" s="16"/>
    </row>
    <row r="206" spans="6:6" x14ac:dyDescent="0.25">
      <c r="F206" s="16"/>
    </row>
    <row r="207" spans="6:6" x14ac:dyDescent="0.25">
      <c r="F207" s="16"/>
    </row>
    <row r="208" spans="6:6" x14ac:dyDescent="0.25">
      <c r="F208" s="16"/>
    </row>
    <row r="209" spans="6:6" x14ac:dyDescent="0.25">
      <c r="F209" s="16"/>
    </row>
    <row r="210" spans="6:6" x14ac:dyDescent="0.25">
      <c r="F210" s="16"/>
    </row>
    <row r="211" spans="6:6" x14ac:dyDescent="0.25">
      <c r="F211" s="16"/>
    </row>
    <row r="212" spans="6:6" x14ac:dyDescent="0.25">
      <c r="F212" s="16"/>
    </row>
    <row r="213" spans="6:6" x14ac:dyDescent="0.25">
      <c r="F213" s="16"/>
    </row>
    <row r="214" spans="6:6" x14ac:dyDescent="0.25">
      <c r="F214" s="16"/>
    </row>
    <row r="215" spans="6:6" x14ac:dyDescent="0.25">
      <c r="F215" s="16"/>
    </row>
    <row r="216" spans="6:6" x14ac:dyDescent="0.25">
      <c r="F216" s="16"/>
    </row>
    <row r="217" spans="6:6" x14ac:dyDescent="0.25">
      <c r="F217" s="16"/>
    </row>
    <row r="218" spans="6:6" x14ac:dyDescent="0.25">
      <c r="F218" s="16"/>
    </row>
    <row r="219" spans="6:6" x14ac:dyDescent="0.25">
      <c r="F219" s="16"/>
    </row>
    <row r="220" spans="6:6" x14ac:dyDescent="0.25">
      <c r="F220" s="16"/>
    </row>
    <row r="221" spans="6:6" x14ac:dyDescent="0.25">
      <c r="F221" s="16"/>
    </row>
    <row r="222" spans="6:6" x14ac:dyDescent="0.25">
      <c r="F222" s="16"/>
    </row>
    <row r="223" spans="6:6" x14ac:dyDescent="0.25">
      <c r="F223" s="16"/>
    </row>
    <row r="224" spans="6:6" x14ac:dyDescent="0.25">
      <c r="F224" s="16"/>
    </row>
    <row r="225" spans="6:6" x14ac:dyDescent="0.25">
      <c r="F225" s="16"/>
    </row>
    <row r="226" spans="6:6" x14ac:dyDescent="0.25">
      <c r="F226" s="16"/>
    </row>
    <row r="227" spans="6:6" x14ac:dyDescent="0.25">
      <c r="F227" s="16"/>
    </row>
    <row r="228" spans="6:6" x14ac:dyDescent="0.25">
      <c r="F228" s="16"/>
    </row>
    <row r="229" spans="6:6" x14ac:dyDescent="0.25">
      <c r="F229" s="16"/>
    </row>
    <row r="230" spans="6:6" x14ac:dyDescent="0.25">
      <c r="F230" s="16"/>
    </row>
    <row r="231" spans="6:6" x14ac:dyDescent="0.25">
      <c r="F231" s="16"/>
    </row>
    <row r="232" spans="6:6" x14ac:dyDescent="0.25">
      <c r="F232" s="16"/>
    </row>
    <row r="233" spans="6:6" x14ac:dyDescent="0.25">
      <c r="F233" s="16"/>
    </row>
    <row r="234" spans="6:6" x14ac:dyDescent="0.25">
      <c r="F234" s="16"/>
    </row>
    <row r="235" spans="6:6" x14ac:dyDescent="0.25">
      <c r="F235" s="16"/>
    </row>
    <row r="236" spans="6:6" x14ac:dyDescent="0.25">
      <c r="F236" s="16"/>
    </row>
    <row r="237" spans="6:6" x14ac:dyDescent="0.25">
      <c r="F237" s="16"/>
    </row>
    <row r="238" spans="6:6" x14ac:dyDescent="0.25">
      <c r="F238" s="16"/>
    </row>
    <row r="239" spans="6:6" x14ac:dyDescent="0.25">
      <c r="F239" s="16"/>
    </row>
    <row r="240" spans="6:6" x14ac:dyDescent="0.25">
      <c r="F240" s="16"/>
    </row>
    <row r="241" spans="6:6" x14ac:dyDescent="0.25">
      <c r="F241" s="16"/>
    </row>
    <row r="242" spans="6:6" x14ac:dyDescent="0.25">
      <c r="F242" s="16"/>
    </row>
    <row r="243" spans="6:6" x14ac:dyDescent="0.25">
      <c r="F243" s="16"/>
    </row>
    <row r="244" spans="6:6" x14ac:dyDescent="0.25">
      <c r="F244" s="16"/>
    </row>
    <row r="245" spans="6:6" x14ac:dyDescent="0.25">
      <c r="F245" s="16"/>
    </row>
    <row r="246" spans="6:6" x14ac:dyDescent="0.25">
      <c r="F246" s="16"/>
    </row>
    <row r="247" spans="6:6" x14ac:dyDescent="0.25">
      <c r="F247" s="16"/>
    </row>
    <row r="248" spans="6:6" x14ac:dyDescent="0.25">
      <c r="F248" s="16"/>
    </row>
    <row r="249" spans="6:6" x14ac:dyDescent="0.25">
      <c r="F249" s="16"/>
    </row>
    <row r="250" spans="6:6" x14ac:dyDescent="0.25">
      <c r="F250" s="16"/>
    </row>
    <row r="251" spans="6:6" x14ac:dyDescent="0.25">
      <c r="F251" s="16"/>
    </row>
    <row r="252" spans="6:6" x14ac:dyDescent="0.25">
      <c r="F252" s="16"/>
    </row>
    <row r="253" spans="6:6" x14ac:dyDescent="0.25">
      <c r="F253" s="16"/>
    </row>
    <row r="254" spans="6:6" x14ac:dyDescent="0.25">
      <c r="F254" s="16"/>
    </row>
    <row r="255" spans="6:6" x14ac:dyDescent="0.25">
      <c r="F255" s="16"/>
    </row>
    <row r="256" spans="6:6" x14ac:dyDescent="0.25">
      <c r="F256" s="16"/>
    </row>
    <row r="257" spans="6:6" x14ac:dyDescent="0.25">
      <c r="F257" s="16"/>
    </row>
    <row r="258" spans="6:6" x14ac:dyDescent="0.25">
      <c r="F258" s="16"/>
    </row>
    <row r="259" spans="6:6" x14ac:dyDescent="0.25">
      <c r="F259" s="16"/>
    </row>
    <row r="260" spans="6:6" x14ac:dyDescent="0.25">
      <c r="F260" s="16"/>
    </row>
    <row r="261" spans="6:6" x14ac:dyDescent="0.25">
      <c r="F261" s="16"/>
    </row>
    <row r="262" spans="6:6" x14ac:dyDescent="0.25">
      <c r="F262" s="16"/>
    </row>
    <row r="263" spans="6:6" x14ac:dyDescent="0.25">
      <c r="F263" s="16"/>
    </row>
    <row r="264" spans="6:6" x14ac:dyDescent="0.25">
      <c r="F264" s="16"/>
    </row>
    <row r="265" spans="6:6" x14ac:dyDescent="0.25">
      <c r="F265" s="16"/>
    </row>
    <row r="266" spans="6:6" x14ac:dyDescent="0.25">
      <c r="F266" s="16"/>
    </row>
    <row r="267" spans="6:6" x14ac:dyDescent="0.25">
      <c r="F267" s="16"/>
    </row>
    <row r="268" spans="6:6" x14ac:dyDescent="0.25">
      <c r="F268" s="16"/>
    </row>
    <row r="269" spans="6:6" x14ac:dyDescent="0.25">
      <c r="F269" s="16"/>
    </row>
    <row r="270" spans="6:6" x14ac:dyDescent="0.25">
      <c r="F270" s="16"/>
    </row>
    <row r="271" spans="6:6" x14ac:dyDescent="0.25">
      <c r="F271" s="16"/>
    </row>
    <row r="272" spans="6:6" x14ac:dyDescent="0.25">
      <c r="F272" s="16"/>
    </row>
    <row r="273" spans="6:6" x14ac:dyDescent="0.25">
      <c r="F273" s="16"/>
    </row>
    <row r="274" spans="6:6" x14ac:dyDescent="0.25">
      <c r="F274" s="16"/>
    </row>
    <row r="275" spans="6:6" x14ac:dyDescent="0.25">
      <c r="F275" s="16"/>
    </row>
    <row r="276" spans="6:6" x14ac:dyDescent="0.25">
      <c r="F276" s="16"/>
    </row>
    <row r="277" spans="6:6" x14ac:dyDescent="0.25">
      <c r="F277" s="16"/>
    </row>
    <row r="278" spans="6:6" x14ac:dyDescent="0.25">
      <c r="F278" s="16"/>
    </row>
    <row r="279" spans="6:6" x14ac:dyDescent="0.25">
      <c r="F279" s="16"/>
    </row>
    <row r="280" spans="6:6" x14ac:dyDescent="0.25">
      <c r="F280" s="16"/>
    </row>
    <row r="281" spans="6:6" x14ac:dyDescent="0.25">
      <c r="F281" s="16"/>
    </row>
    <row r="282" spans="6:6" x14ac:dyDescent="0.25">
      <c r="F282" s="16"/>
    </row>
    <row r="283" spans="6:6" x14ac:dyDescent="0.25">
      <c r="F283" s="16"/>
    </row>
    <row r="284" spans="6:6" x14ac:dyDescent="0.25">
      <c r="F284" s="16"/>
    </row>
    <row r="285" spans="6:6" x14ac:dyDescent="0.25">
      <c r="F285" s="16"/>
    </row>
    <row r="286" spans="6:6" x14ac:dyDescent="0.25">
      <c r="F286" s="16"/>
    </row>
    <row r="287" spans="6:6" x14ac:dyDescent="0.25">
      <c r="F287" s="16"/>
    </row>
    <row r="288" spans="6:6" x14ac:dyDescent="0.25">
      <c r="F288" s="16"/>
    </row>
    <row r="289" spans="6:6" x14ac:dyDescent="0.25">
      <c r="F289" s="16"/>
    </row>
    <row r="290" spans="6:6" x14ac:dyDescent="0.25">
      <c r="F290" s="16"/>
    </row>
    <row r="291" spans="6:6" x14ac:dyDescent="0.25">
      <c r="F291" s="16"/>
    </row>
    <row r="292" spans="6:6" x14ac:dyDescent="0.25">
      <c r="F292" s="16"/>
    </row>
    <row r="293" spans="6:6" x14ac:dyDescent="0.25">
      <c r="F293" s="16"/>
    </row>
    <row r="294" spans="6:6" x14ac:dyDescent="0.25">
      <c r="F294" s="16"/>
    </row>
    <row r="295" spans="6:6" x14ac:dyDescent="0.25">
      <c r="F295" s="16"/>
    </row>
    <row r="296" spans="6:6" x14ac:dyDescent="0.25">
      <c r="F296" s="16"/>
    </row>
    <row r="297" spans="6:6" x14ac:dyDescent="0.25">
      <c r="F297" s="16"/>
    </row>
    <row r="298" spans="6:6" x14ac:dyDescent="0.25">
      <c r="F298" s="16"/>
    </row>
    <row r="299" spans="6:6" x14ac:dyDescent="0.25">
      <c r="F299" s="16"/>
    </row>
    <row r="300" spans="6:6" x14ac:dyDescent="0.25">
      <c r="F300" s="16"/>
    </row>
    <row r="301" spans="6:6" x14ac:dyDescent="0.25">
      <c r="F301" s="16"/>
    </row>
    <row r="302" spans="6:6" x14ac:dyDescent="0.25">
      <c r="F302" s="16"/>
    </row>
    <row r="303" spans="6:6" x14ac:dyDescent="0.25">
      <c r="F303" s="16"/>
    </row>
    <row r="304" spans="6:6" x14ac:dyDescent="0.25">
      <c r="F304" s="16"/>
    </row>
    <row r="305" spans="6:6" x14ac:dyDescent="0.25">
      <c r="F305" s="16"/>
    </row>
    <row r="306" spans="6:6" x14ac:dyDescent="0.25">
      <c r="F306" s="16"/>
    </row>
    <row r="307" spans="6:6" x14ac:dyDescent="0.25">
      <c r="F307" s="16"/>
    </row>
    <row r="308" spans="6:6" x14ac:dyDescent="0.25">
      <c r="F308" s="16"/>
    </row>
    <row r="309" spans="6:6" x14ac:dyDescent="0.25">
      <c r="F309" s="16"/>
    </row>
    <row r="310" spans="6:6" x14ac:dyDescent="0.25">
      <c r="F310" s="16"/>
    </row>
    <row r="311" spans="6:6" x14ac:dyDescent="0.25">
      <c r="F311" s="16"/>
    </row>
    <row r="312" spans="6:6" x14ac:dyDescent="0.25">
      <c r="F312" s="16"/>
    </row>
    <row r="313" spans="6:6" x14ac:dyDescent="0.25">
      <c r="F313" s="16"/>
    </row>
    <row r="314" spans="6:6" x14ac:dyDescent="0.25">
      <c r="F314" s="16"/>
    </row>
    <row r="315" spans="6:6" x14ac:dyDescent="0.25">
      <c r="F315" s="16"/>
    </row>
    <row r="316" spans="6:6" x14ac:dyDescent="0.25">
      <c r="F316" s="16"/>
    </row>
    <row r="317" spans="6:6" x14ac:dyDescent="0.25">
      <c r="F317" s="16"/>
    </row>
    <row r="318" spans="6:6" x14ac:dyDescent="0.25">
      <c r="F318" s="16"/>
    </row>
    <row r="319" spans="6:6" x14ac:dyDescent="0.25">
      <c r="F319" s="16"/>
    </row>
    <row r="320" spans="6:6" x14ac:dyDescent="0.25">
      <c r="F320" s="16"/>
    </row>
    <row r="321" spans="6:6" x14ac:dyDescent="0.25">
      <c r="F321" s="16"/>
    </row>
    <row r="322" spans="6:6" x14ac:dyDescent="0.25">
      <c r="F322" s="16"/>
    </row>
    <row r="323" spans="6:6" x14ac:dyDescent="0.25">
      <c r="F323" s="16"/>
    </row>
    <row r="324" spans="6:6" x14ac:dyDescent="0.25">
      <c r="F324" s="16"/>
    </row>
    <row r="325" spans="6:6" x14ac:dyDescent="0.25">
      <c r="F325" s="16"/>
    </row>
    <row r="326" spans="6:6" x14ac:dyDescent="0.25">
      <c r="F326" s="16"/>
    </row>
    <row r="327" spans="6:6" x14ac:dyDescent="0.25">
      <c r="F327" s="16"/>
    </row>
    <row r="328" spans="6:6" x14ac:dyDescent="0.25">
      <c r="F328" s="16"/>
    </row>
    <row r="329" spans="6:6" x14ac:dyDescent="0.25">
      <c r="F329" s="16"/>
    </row>
    <row r="330" spans="6:6" x14ac:dyDescent="0.25">
      <c r="F330" s="16"/>
    </row>
    <row r="331" spans="6:6" x14ac:dyDescent="0.25">
      <c r="F331" s="16"/>
    </row>
    <row r="332" spans="6:6" x14ac:dyDescent="0.25">
      <c r="F332" s="16"/>
    </row>
    <row r="333" spans="6:6" x14ac:dyDescent="0.25">
      <c r="F333" s="16"/>
    </row>
    <row r="334" spans="6:6" x14ac:dyDescent="0.25">
      <c r="F334" s="16"/>
    </row>
    <row r="335" spans="6:6" x14ac:dyDescent="0.25">
      <c r="F335" s="16"/>
    </row>
    <row r="336" spans="6:6" x14ac:dyDescent="0.25">
      <c r="F336" s="16"/>
    </row>
    <row r="337" spans="6:6" x14ac:dyDescent="0.25">
      <c r="F337" s="16"/>
    </row>
    <row r="338" spans="6:6" x14ac:dyDescent="0.25">
      <c r="F338" s="16"/>
    </row>
    <row r="339" spans="6:6" x14ac:dyDescent="0.25">
      <c r="F339" s="16"/>
    </row>
    <row r="340" spans="6:6" x14ac:dyDescent="0.25">
      <c r="F340" s="16"/>
    </row>
    <row r="341" spans="6:6" x14ac:dyDescent="0.25">
      <c r="F341" s="16"/>
    </row>
    <row r="342" spans="6:6" x14ac:dyDescent="0.25">
      <c r="F342" s="16"/>
    </row>
    <row r="343" spans="6:6" x14ac:dyDescent="0.25">
      <c r="F343" s="16"/>
    </row>
    <row r="344" spans="6:6" x14ac:dyDescent="0.25">
      <c r="F344" s="16"/>
    </row>
    <row r="345" spans="6:6" x14ac:dyDescent="0.25">
      <c r="F345" s="16"/>
    </row>
    <row r="346" spans="6:6" x14ac:dyDescent="0.25">
      <c r="F346" s="16"/>
    </row>
    <row r="347" spans="6:6" x14ac:dyDescent="0.25">
      <c r="F347" s="16"/>
    </row>
    <row r="348" spans="6:6" x14ac:dyDescent="0.25">
      <c r="F348" s="16"/>
    </row>
    <row r="349" spans="6:6" x14ac:dyDescent="0.25">
      <c r="F349" s="16"/>
    </row>
    <row r="350" spans="6:6" x14ac:dyDescent="0.25">
      <c r="F350" s="16"/>
    </row>
    <row r="351" spans="6:6" x14ac:dyDescent="0.25">
      <c r="F351" s="16"/>
    </row>
    <row r="352" spans="6:6" x14ac:dyDescent="0.25">
      <c r="F352" s="16"/>
    </row>
    <row r="353" spans="6:6" x14ac:dyDescent="0.25">
      <c r="F353" s="16"/>
    </row>
    <row r="354" spans="6:6" x14ac:dyDescent="0.25">
      <c r="F354" s="16"/>
    </row>
    <row r="355" spans="6:6" x14ac:dyDescent="0.25">
      <c r="F355" s="16"/>
    </row>
    <row r="356" spans="6:6" x14ac:dyDescent="0.25">
      <c r="F356" s="16"/>
    </row>
    <row r="357" spans="6:6" x14ac:dyDescent="0.25">
      <c r="F357" s="16"/>
    </row>
    <row r="358" spans="6:6" x14ac:dyDescent="0.25">
      <c r="F358" s="16"/>
    </row>
    <row r="359" spans="6:6" x14ac:dyDescent="0.25">
      <c r="F359" s="16"/>
    </row>
    <row r="360" spans="6:6" x14ac:dyDescent="0.25">
      <c r="F360" s="16"/>
    </row>
    <row r="361" spans="6:6" x14ac:dyDescent="0.25">
      <c r="F361" s="16"/>
    </row>
    <row r="362" spans="6:6" x14ac:dyDescent="0.25">
      <c r="F362" s="16"/>
    </row>
    <row r="363" spans="6:6" x14ac:dyDescent="0.25">
      <c r="F363" s="16"/>
    </row>
    <row r="364" spans="6:6" x14ac:dyDescent="0.25">
      <c r="F364" s="16"/>
    </row>
    <row r="365" spans="6:6" x14ac:dyDescent="0.25">
      <c r="F365" s="16"/>
    </row>
    <row r="366" spans="6:6" x14ac:dyDescent="0.25">
      <c r="F366" s="16"/>
    </row>
    <row r="367" spans="6:6" x14ac:dyDescent="0.25">
      <c r="F367" s="16"/>
    </row>
    <row r="368" spans="6:6" x14ac:dyDescent="0.25">
      <c r="F368" s="16"/>
    </row>
    <row r="369" spans="6:6" x14ac:dyDescent="0.25">
      <c r="F369" s="16"/>
    </row>
    <row r="370" spans="6:6" x14ac:dyDescent="0.25">
      <c r="F370" s="16"/>
    </row>
    <row r="371" spans="6:6" x14ac:dyDescent="0.25">
      <c r="F371" s="16"/>
    </row>
    <row r="372" spans="6:6" x14ac:dyDescent="0.25">
      <c r="F372" s="16"/>
    </row>
    <row r="373" spans="6:6" x14ac:dyDescent="0.25">
      <c r="F373" s="16"/>
    </row>
    <row r="374" spans="6:6" x14ac:dyDescent="0.25">
      <c r="F374" s="16"/>
    </row>
    <row r="375" spans="6:6" x14ac:dyDescent="0.25">
      <c r="F375" s="16"/>
    </row>
    <row r="376" spans="6:6" x14ac:dyDescent="0.25">
      <c r="F376" s="16"/>
    </row>
    <row r="377" spans="6:6" x14ac:dyDescent="0.25">
      <c r="F377" s="16"/>
    </row>
    <row r="378" spans="6:6" x14ac:dyDescent="0.25">
      <c r="F378" s="16"/>
    </row>
    <row r="379" spans="6:6" x14ac:dyDescent="0.25">
      <c r="F379" s="16"/>
    </row>
    <row r="380" spans="6:6" x14ac:dyDescent="0.25">
      <c r="F380" s="16"/>
    </row>
    <row r="381" spans="6:6" x14ac:dyDescent="0.25">
      <c r="F381" s="16"/>
    </row>
    <row r="382" spans="6:6" x14ac:dyDescent="0.25">
      <c r="F382" s="16"/>
    </row>
    <row r="383" spans="6:6" x14ac:dyDescent="0.25">
      <c r="F383" s="16"/>
    </row>
    <row r="384" spans="6:6" x14ac:dyDescent="0.25">
      <c r="F384" s="16"/>
    </row>
    <row r="385" spans="6:6" x14ac:dyDescent="0.25">
      <c r="F385" s="16"/>
    </row>
    <row r="386" spans="6:6" x14ac:dyDescent="0.25">
      <c r="F386" s="16"/>
    </row>
    <row r="387" spans="6:6" x14ac:dyDescent="0.25">
      <c r="F387" s="16"/>
    </row>
    <row r="388" spans="6:6" x14ac:dyDescent="0.25">
      <c r="F388" s="16"/>
    </row>
    <row r="389" spans="6:6" x14ac:dyDescent="0.25">
      <c r="F389" s="16"/>
    </row>
    <row r="390" spans="6:6" x14ac:dyDescent="0.25">
      <c r="F390" s="16"/>
    </row>
    <row r="391" spans="6:6" x14ac:dyDescent="0.25">
      <c r="F391" s="16"/>
    </row>
    <row r="392" spans="6:6" x14ac:dyDescent="0.25">
      <c r="F392" s="16"/>
    </row>
    <row r="393" spans="6:6" x14ac:dyDescent="0.25">
      <c r="F393" s="16"/>
    </row>
    <row r="394" spans="6:6" x14ac:dyDescent="0.25">
      <c r="F394" s="16"/>
    </row>
    <row r="395" spans="6:6" x14ac:dyDescent="0.25">
      <c r="F395" s="16"/>
    </row>
    <row r="396" spans="6:6" x14ac:dyDescent="0.25">
      <c r="F396" s="16"/>
    </row>
    <row r="397" spans="6:6" x14ac:dyDescent="0.25">
      <c r="F397" s="16"/>
    </row>
    <row r="398" spans="6:6" x14ac:dyDescent="0.25">
      <c r="F398" s="16"/>
    </row>
    <row r="399" spans="6:6" x14ac:dyDescent="0.25">
      <c r="F399" s="16"/>
    </row>
    <row r="400" spans="6:6" x14ac:dyDescent="0.25">
      <c r="F400" s="16"/>
    </row>
    <row r="401" spans="6:6" x14ac:dyDescent="0.25">
      <c r="F401" s="16"/>
    </row>
    <row r="402" spans="6:6" x14ac:dyDescent="0.25">
      <c r="F402" s="16"/>
    </row>
    <row r="403" spans="6:6" x14ac:dyDescent="0.25">
      <c r="F403" s="16"/>
    </row>
    <row r="404" spans="6:6" x14ac:dyDescent="0.25">
      <c r="F404" s="16"/>
    </row>
    <row r="405" spans="6:6" x14ac:dyDescent="0.25">
      <c r="F405" s="16"/>
    </row>
    <row r="406" spans="6:6" x14ac:dyDescent="0.25">
      <c r="F406" s="16"/>
    </row>
    <row r="407" spans="6:6" x14ac:dyDescent="0.25">
      <c r="F407" s="16"/>
    </row>
    <row r="408" spans="6:6" x14ac:dyDescent="0.25">
      <c r="F408" s="16"/>
    </row>
    <row r="409" spans="6:6" x14ac:dyDescent="0.25">
      <c r="F409" s="16"/>
    </row>
    <row r="410" spans="6:6" x14ac:dyDescent="0.25">
      <c r="F410" s="16"/>
    </row>
    <row r="411" spans="6:6" x14ac:dyDescent="0.25">
      <c r="F411" s="16"/>
    </row>
    <row r="412" spans="6:6" x14ac:dyDescent="0.25">
      <c r="F412" s="16"/>
    </row>
    <row r="413" spans="6:6" x14ac:dyDescent="0.25">
      <c r="F413" s="16"/>
    </row>
    <row r="414" spans="6:6" x14ac:dyDescent="0.25">
      <c r="F414" s="16"/>
    </row>
    <row r="415" spans="6:6" x14ac:dyDescent="0.25">
      <c r="F415" s="16"/>
    </row>
    <row r="416" spans="6:6" x14ac:dyDescent="0.25">
      <c r="F416" s="16"/>
    </row>
    <row r="417" spans="6:6" x14ac:dyDescent="0.25">
      <c r="F417" s="16"/>
    </row>
    <row r="418" spans="6:6" x14ac:dyDescent="0.25">
      <c r="F418" s="16"/>
    </row>
    <row r="419" spans="6:6" x14ac:dyDescent="0.25">
      <c r="F419" s="16"/>
    </row>
    <row r="420" spans="6:6" x14ac:dyDescent="0.25">
      <c r="F420" s="16"/>
    </row>
    <row r="421" spans="6:6" x14ac:dyDescent="0.25">
      <c r="F421" s="16"/>
    </row>
    <row r="422" spans="6:6" x14ac:dyDescent="0.25">
      <c r="F422" s="16"/>
    </row>
    <row r="423" spans="6:6" x14ac:dyDescent="0.25">
      <c r="F423" s="16"/>
    </row>
    <row r="424" spans="6:6" x14ac:dyDescent="0.25">
      <c r="F424" s="16"/>
    </row>
    <row r="425" spans="6:6" x14ac:dyDescent="0.25">
      <c r="F425" s="16"/>
    </row>
    <row r="426" spans="6:6" x14ac:dyDescent="0.25">
      <c r="F426" s="16"/>
    </row>
    <row r="427" spans="6:6" x14ac:dyDescent="0.25">
      <c r="F427" s="16"/>
    </row>
    <row r="428" spans="6:6" x14ac:dyDescent="0.25">
      <c r="F428" s="16"/>
    </row>
    <row r="429" spans="6:6" x14ac:dyDescent="0.25">
      <c r="F429" s="16"/>
    </row>
    <row r="430" spans="6:6" x14ac:dyDescent="0.25">
      <c r="F430" s="16"/>
    </row>
    <row r="431" spans="6:6" x14ac:dyDescent="0.25">
      <c r="F431" s="16"/>
    </row>
    <row r="432" spans="6:6" x14ac:dyDescent="0.25">
      <c r="F432" s="16"/>
    </row>
    <row r="433" spans="6:6" x14ac:dyDescent="0.25">
      <c r="F433" s="16"/>
    </row>
    <row r="434" spans="6:6" x14ac:dyDescent="0.25">
      <c r="F434" s="16"/>
    </row>
    <row r="435" spans="6:6" x14ac:dyDescent="0.25">
      <c r="F435" s="16"/>
    </row>
    <row r="436" spans="6:6" x14ac:dyDescent="0.25">
      <c r="F436" s="16"/>
    </row>
    <row r="437" spans="6:6" x14ac:dyDescent="0.25">
      <c r="F437" s="16"/>
    </row>
    <row r="438" spans="6:6" x14ac:dyDescent="0.25">
      <c r="F438" s="16"/>
    </row>
    <row r="439" spans="6:6" x14ac:dyDescent="0.25">
      <c r="F439" s="16"/>
    </row>
    <row r="440" spans="6:6" x14ac:dyDescent="0.25">
      <c r="F440" s="16"/>
    </row>
    <row r="441" spans="6:6" x14ac:dyDescent="0.25">
      <c r="F441" s="16"/>
    </row>
    <row r="442" spans="6:6" x14ac:dyDescent="0.25">
      <c r="F442" s="16"/>
    </row>
    <row r="443" spans="6:6" x14ac:dyDescent="0.25">
      <c r="F443" s="16"/>
    </row>
    <row r="444" spans="6:6" x14ac:dyDescent="0.25">
      <c r="F444" s="16"/>
    </row>
    <row r="445" spans="6:6" x14ac:dyDescent="0.25">
      <c r="F445" s="16"/>
    </row>
    <row r="446" spans="6:6" x14ac:dyDescent="0.25">
      <c r="F446" s="16"/>
    </row>
    <row r="447" spans="6:6" x14ac:dyDescent="0.25">
      <c r="F447" s="16"/>
    </row>
    <row r="448" spans="6:6" x14ac:dyDescent="0.25">
      <c r="F448" s="16"/>
    </row>
    <row r="449" spans="6:6" x14ac:dyDescent="0.25">
      <c r="F449" s="16"/>
    </row>
    <row r="450" spans="6:6" x14ac:dyDescent="0.25">
      <c r="F450" s="16"/>
    </row>
    <row r="451" spans="6:6" x14ac:dyDescent="0.25">
      <c r="F451" s="16"/>
    </row>
    <row r="452" spans="6:6" x14ac:dyDescent="0.25">
      <c r="F452" s="16"/>
    </row>
    <row r="453" spans="6:6" x14ac:dyDescent="0.25">
      <c r="F453" s="16"/>
    </row>
    <row r="454" spans="6:6" x14ac:dyDescent="0.25">
      <c r="F454" s="16"/>
    </row>
    <row r="455" spans="6:6" x14ac:dyDescent="0.25">
      <c r="F455" s="16"/>
    </row>
    <row r="456" spans="6:6" x14ac:dyDescent="0.25">
      <c r="F456" s="16"/>
    </row>
    <row r="457" spans="6:6" x14ac:dyDescent="0.25">
      <c r="F457" s="16"/>
    </row>
    <row r="458" spans="6:6" x14ac:dyDescent="0.25">
      <c r="F458" s="16"/>
    </row>
    <row r="459" spans="6:6" x14ac:dyDescent="0.25">
      <c r="F459" s="16"/>
    </row>
    <row r="460" spans="6:6" x14ac:dyDescent="0.25">
      <c r="F460" s="16"/>
    </row>
    <row r="461" spans="6:6" x14ac:dyDescent="0.25">
      <c r="F461" s="16"/>
    </row>
    <row r="462" spans="6:6" x14ac:dyDescent="0.25">
      <c r="F462" s="16"/>
    </row>
    <row r="463" spans="6:6" x14ac:dyDescent="0.25">
      <c r="F463" s="16"/>
    </row>
    <row r="464" spans="6:6" x14ac:dyDescent="0.25">
      <c r="F464" s="16"/>
    </row>
    <row r="465" spans="6:6" x14ac:dyDescent="0.25">
      <c r="F465" s="16"/>
    </row>
    <row r="466" spans="6:6" x14ac:dyDescent="0.25">
      <c r="F466" s="16"/>
    </row>
    <row r="467" spans="6:6" x14ac:dyDescent="0.25">
      <c r="F467" s="16"/>
    </row>
    <row r="468" spans="6:6" x14ac:dyDescent="0.25">
      <c r="F468" s="16"/>
    </row>
    <row r="469" spans="6:6" x14ac:dyDescent="0.25">
      <c r="F469" s="16"/>
    </row>
    <row r="470" spans="6:6" x14ac:dyDescent="0.25">
      <c r="F470" s="16"/>
    </row>
    <row r="471" spans="6:6" x14ac:dyDescent="0.25">
      <c r="F471" s="16"/>
    </row>
    <row r="472" spans="6:6" x14ac:dyDescent="0.25">
      <c r="F472" s="16"/>
    </row>
    <row r="473" spans="6:6" x14ac:dyDescent="0.25">
      <c r="F473" s="16"/>
    </row>
    <row r="474" spans="6:6" x14ac:dyDescent="0.25">
      <c r="F474" s="16"/>
    </row>
    <row r="475" spans="6:6" x14ac:dyDescent="0.25">
      <c r="F475" s="16"/>
    </row>
    <row r="476" spans="6:6" x14ac:dyDescent="0.25">
      <c r="F476" s="16"/>
    </row>
    <row r="477" spans="6:6" x14ac:dyDescent="0.25">
      <c r="F477" s="16"/>
    </row>
    <row r="478" spans="6:6" x14ac:dyDescent="0.25">
      <c r="F478" s="16"/>
    </row>
    <row r="479" spans="6:6" x14ac:dyDescent="0.25">
      <c r="F479" s="16"/>
    </row>
    <row r="480" spans="6:6" x14ac:dyDescent="0.25">
      <c r="F480" s="16"/>
    </row>
    <row r="481" spans="6:6" x14ac:dyDescent="0.25">
      <c r="F481" s="16"/>
    </row>
    <row r="482" spans="6:6" x14ac:dyDescent="0.25">
      <c r="F482" s="16"/>
    </row>
    <row r="483" spans="6:6" x14ac:dyDescent="0.25">
      <c r="F483" s="16"/>
    </row>
    <row r="484" spans="6:6" x14ac:dyDescent="0.25">
      <c r="F484" s="16"/>
    </row>
    <row r="485" spans="6:6" x14ac:dyDescent="0.25">
      <c r="F485" s="16"/>
    </row>
    <row r="486" spans="6:6" x14ac:dyDescent="0.25">
      <c r="F486" s="16"/>
    </row>
    <row r="487" spans="6:6" x14ac:dyDescent="0.25">
      <c r="F487" s="16"/>
    </row>
    <row r="488" spans="6:6" x14ac:dyDescent="0.25">
      <c r="F488" s="16"/>
    </row>
    <row r="489" spans="6:6" x14ac:dyDescent="0.25">
      <c r="F489" s="16"/>
    </row>
    <row r="490" spans="6:6" x14ac:dyDescent="0.25">
      <c r="F490" s="16"/>
    </row>
    <row r="491" spans="6:6" x14ac:dyDescent="0.25">
      <c r="F491" s="16"/>
    </row>
    <row r="492" spans="6:6" x14ac:dyDescent="0.25">
      <c r="F492" s="16"/>
    </row>
    <row r="493" spans="6:6" x14ac:dyDescent="0.25">
      <c r="F493" s="16"/>
    </row>
    <row r="494" spans="6:6" x14ac:dyDescent="0.25">
      <c r="F494" s="16"/>
    </row>
    <row r="495" spans="6:6" x14ac:dyDescent="0.25">
      <c r="F495" s="16"/>
    </row>
    <row r="496" spans="6:6" x14ac:dyDescent="0.25">
      <c r="F496" s="16"/>
    </row>
    <row r="497" spans="6:6" x14ac:dyDescent="0.25">
      <c r="F497" s="16"/>
    </row>
    <row r="498" spans="6:6" x14ac:dyDescent="0.25">
      <c r="F498" s="16"/>
    </row>
    <row r="499" spans="6:6" x14ac:dyDescent="0.25">
      <c r="F499" s="16"/>
    </row>
    <row r="500" spans="6:6" x14ac:dyDescent="0.25">
      <c r="F500" s="16"/>
    </row>
    <row r="501" spans="6:6" x14ac:dyDescent="0.25">
      <c r="F501" s="16"/>
    </row>
    <row r="502" spans="6:6" x14ac:dyDescent="0.25">
      <c r="F502" s="16"/>
    </row>
    <row r="503" spans="6:6" x14ac:dyDescent="0.25">
      <c r="F503" s="16"/>
    </row>
    <row r="504" spans="6:6" x14ac:dyDescent="0.25">
      <c r="F504" s="16"/>
    </row>
    <row r="505" spans="6:6" x14ac:dyDescent="0.25">
      <c r="F505" s="16"/>
    </row>
    <row r="506" spans="6:6" x14ac:dyDescent="0.25">
      <c r="F506" s="16"/>
    </row>
    <row r="507" spans="6:6" x14ac:dyDescent="0.25">
      <c r="F507" s="16"/>
    </row>
    <row r="508" spans="6:6" x14ac:dyDescent="0.25">
      <c r="F508" s="16"/>
    </row>
    <row r="509" spans="6:6" x14ac:dyDescent="0.25">
      <c r="F509" s="16"/>
    </row>
    <row r="510" spans="6:6" x14ac:dyDescent="0.25">
      <c r="F510" s="16"/>
    </row>
    <row r="511" spans="6:6" x14ac:dyDescent="0.25">
      <c r="F511" s="16"/>
    </row>
    <row r="512" spans="6:6" x14ac:dyDescent="0.25">
      <c r="F512" s="16"/>
    </row>
    <row r="513" spans="6:6" x14ac:dyDescent="0.25">
      <c r="F513" s="16"/>
    </row>
    <row r="514" spans="6:6" x14ac:dyDescent="0.25">
      <c r="F514" s="16"/>
    </row>
    <row r="515" spans="6:6" x14ac:dyDescent="0.25">
      <c r="F515" s="16"/>
    </row>
    <row r="516" spans="6:6" x14ac:dyDescent="0.25">
      <c r="F516" s="16"/>
    </row>
    <row r="517" spans="6:6" x14ac:dyDescent="0.25">
      <c r="F517" s="16"/>
    </row>
    <row r="518" spans="6:6" x14ac:dyDescent="0.25">
      <c r="F518" s="16"/>
    </row>
    <row r="519" spans="6:6" x14ac:dyDescent="0.25">
      <c r="F519" s="16"/>
    </row>
    <row r="520" spans="6:6" x14ac:dyDescent="0.25">
      <c r="F520" s="16"/>
    </row>
    <row r="521" spans="6:6" x14ac:dyDescent="0.25">
      <c r="F521" s="16"/>
    </row>
    <row r="522" spans="6:6" x14ac:dyDescent="0.25">
      <c r="F522" s="16"/>
    </row>
    <row r="523" spans="6:6" x14ac:dyDescent="0.25">
      <c r="F523" s="16"/>
    </row>
    <row r="524" spans="6:6" x14ac:dyDescent="0.25">
      <c r="F524" s="16"/>
    </row>
    <row r="525" spans="6:6" x14ac:dyDescent="0.25">
      <c r="F525" s="16"/>
    </row>
    <row r="526" spans="6:6" x14ac:dyDescent="0.25">
      <c r="F526" s="16"/>
    </row>
    <row r="527" spans="6:6" x14ac:dyDescent="0.25">
      <c r="F527" s="16"/>
    </row>
    <row r="528" spans="6:6" x14ac:dyDescent="0.25">
      <c r="F528" s="16"/>
    </row>
    <row r="529" spans="6:6" x14ac:dyDescent="0.25">
      <c r="F529" s="16"/>
    </row>
    <row r="530" spans="6:6" x14ac:dyDescent="0.25">
      <c r="F530" s="16"/>
    </row>
    <row r="531" spans="6:6" x14ac:dyDescent="0.25">
      <c r="F531" s="16"/>
    </row>
    <row r="532" spans="6:6" x14ac:dyDescent="0.25">
      <c r="F532" s="16"/>
    </row>
    <row r="533" spans="6:6" x14ac:dyDescent="0.25">
      <c r="F533" s="16"/>
    </row>
    <row r="534" spans="6:6" x14ac:dyDescent="0.25">
      <c r="F534" s="16"/>
    </row>
    <row r="535" spans="6:6" x14ac:dyDescent="0.25">
      <c r="F535" s="16"/>
    </row>
    <row r="536" spans="6:6" x14ac:dyDescent="0.25">
      <c r="F536" s="16"/>
    </row>
    <row r="537" spans="6:6" x14ac:dyDescent="0.25">
      <c r="F537" s="16"/>
    </row>
    <row r="538" spans="6:6" x14ac:dyDescent="0.25">
      <c r="F538" s="16"/>
    </row>
    <row r="539" spans="6:6" x14ac:dyDescent="0.25">
      <c r="F539" s="16"/>
    </row>
    <row r="540" spans="6:6" x14ac:dyDescent="0.25">
      <c r="F540" s="16"/>
    </row>
    <row r="541" spans="6:6" x14ac:dyDescent="0.25">
      <c r="F541" s="16"/>
    </row>
    <row r="542" spans="6:6" x14ac:dyDescent="0.25">
      <c r="F542" s="16"/>
    </row>
    <row r="543" spans="6:6" x14ac:dyDescent="0.25">
      <c r="F543" s="16"/>
    </row>
    <row r="544" spans="6:6" x14ac:dyDescent="0.25">
      <c r="F544" s="16"/>
    </row>
    <row r="545" spans="6:6" x14ac:dyDescent="0.25">
      <c r="F545" s="16"/>
    </row>
    <row r="546" spans="6:6" x14ac:dyDescent="0.25">
      <c r="F546" s="16"/>
    </row>
    <row r="547" spans="6:6" x14ac:dyDescent="0.25">
      <c r="F547" s="16"/>
    </row>
    <row r="548" spans="6:6" x14ac:dyDescent="0.25">
      <c r="F548" s="16"/>
    </row>
    <row r="549" spans="6:6" x14ac:dyDescent="0.25">
      <c r="F549" s="16"/>
    </row>
    <row r="550" spans="6:6" x14ac:dyDescent="0.25">
      <c r="F550" s="16"/>
    </row>
    <row r="551" spans="6:6" x14ac:dyDescent="0.25">
      <c r="F551" s="16"/>
    </row>
    <row r="552" spans="6:6" x14ac:dyDescent="0.25">
      <c r="F552" s="16"/>
    </row>
    <row r="553" spans="6:6" x14ac:dyDescent="0.25">
      <c r="F553" s="16"/>
    </row>
    <row r="554" spans="6:6" x14ac:dyDescent="0.25">
      <c r="F554" s="16"/>
    </row>
    <row r="555" spans="6:6" x14ac:dyDescent="0.25">
      <c r="F555" s="16"/>
    </row>
    <row r="556" spans="6:6" x14ac:dyDescent="0.25">
      <c r="F556" s="16"/>
    </row>
    <row r="557" spans="6:6" x14ac:dyDescent="0.25">
      <c r="F557" s="16"/>
    </row>
    <row r="558" spans="6:6" x14ac:dyDescent="0.25">
      <c r="F558" s="16"/>
    </row>
    <row r="559" spans="6:6" x14ac:dyDescent="0.25">
      <c r="F559" s="16"/>
    </row>
    <row r="560" spans="6:6" x14ac:dyDescent="0.25">
      <c r="F560" s="16"/>
    </row>
    <row r="561" spans="6:6" x14ac:dyDescent="0.25">
      <c r="F561" s="16"/>
    </row>
    <row r="562" spans="6:6" x14ac:dyDescent="0.25">
      <c r="F562" s="16"/>
    </row>
    <row r="563" spans="6:6" x14ac:dyDescent="0.25">
      <c r="F563" s="16"/>
    </row>
    <row r="564" spans="6:6" x14ac:dyDescent="0.25">
      <c r="F564" s="16"/>
    </row>
    <row r="565" spans="6:6" x14ac:dyDescent="0.25">
      <c r="F565" s="16"/>
    </row>
    <row r="566" spans="6:6" x14ac:dyDescent="0.25">
      <c r="F566" s="16"/>
    </row>
    <row r="567" spans="6:6" x14ac:dyDescent="0.25">
      <c r="F567" s="16"/>
    </row>
    <row r="568" spans="6:6" x14ac:dyDescent="0.25">
      <c r="F568" s="16"/>
    </row>
    <row r="569" spans="6:6" x14ac:dyDescent="0.25">
      <c r="F569" s="16"/>
    </row>
    <row r="570" spans="6:6" x14ac:dyDescent="0.25">
      <c r="F570" s="16"/>
    </row>
    <row r="571" spans="6:6" x14ac:dyDescent="0.25">
      <c r="F571" s="16"/>
    </row>
    <row r="572" spans="6:6" x14ac:dyDescent="0.25">
      <c r="F572" s="16"/>
    </row>
    <row r="573" spans="6:6" x14ac:dyDescent="0.25">
      <c r="F573" s="16"/>
    </row>
    <row r="574" spans="6:6" x14ac:dyDescent="0.25">
      <c r="F574" s="16"/>
    </row>
    <row r="575" spans="6:6" x14ac:dyDescent="0.25">
      <c r="F575" s="16"/>
    </row>
    <row r="576" spans="6:6" x14ac:dyDescent="0.25">
      <c r="F576" s="16"/>
    </row>
    <row r="577" spans="6:6" x14ac:dyDescent="0.25">
      <c r="F577" s="16"/>
    </row>
    <row r="578" spans="6:6" x14ac:dyDescent="0.25">
      <c r="F578" s="16"/>
    </row>
    <row r="579" spans="6:6" x14ac:dyDescent="0.25">
      <c r="F579" s="16"/>
    </row>
    <row r="580" spans="6:6" x14ac:dyDescent="0.25">
      <c r="F580" s="16"/>
    </row>
    <row r="581" spans="6:6" x14ac:dyDescent="0.25">
      <c r="F581" s="16"/>
    </row>
    <row r="582" spans="6:6" x14ac:dyDescent="0.25">
      <c r="F582" s="16"/>
    </row>
    <row r="583" spans="6:6" x14ac:dyDescent="0.25">
      <c r="F583" s="16"/>
    </row>
    <row r="584" spans="6:6" x14ac:dyDescent="0.25">
      <c r="F584" s="16"/>
    </row>
    <row r="585" spans="6:6" x14ac:dyDescent="0.25">
      <c r="F585" s="16"/>
    </row>
    <row r="586" spans="6:6" x14ac:dyDescent="0.25">
      <c r="F586" s="16"/>
    </row>
    <row r="587" spans="6:6" x14ac:dyDescent="0.25">
      <c r="F587" s="16"/>
    </row>
    <row r="588" spans="6:6" x14ac:dyDescent="0.25">
      <c r="F588" s="16"/>
    </row>
    <row r="589" spans="6:6" x14ac:dyDescent="0.25">
      <c r="F589" s="16"/>
    </row>
    <row r="590" spans="6:6" x14ac:dyDescent="0.25">
      <c r="F590" s="16"/>
    </row>
    <row r="591" spans="6:6" x14ac:dyDescent="0.25">
      <c r="F591" s="16"/>
    </row>
    <row r="592" spans="6:6" x14ac:dyDescent="0.25">
      <c r="F592" s="16"/>
    </row>
    <row r="593" spans="6:6" x14ac:dyDescent="0.25">
      <c r="F593" s="16"/>
    </row>
    <row r="594" spans="6:6" x14ac:dyDescent="0.25">
      <c r="F594" s="16"/>
    </row>
    <row r="595" spans="6:6" x14ac:dyDescent="0.25">
      <c r="F595" s="16"/>
    </row>
    <row r="596" spans="6:6" x14ac:dyDescent="0.25">
      <c r="F596" s="16"/>
    </row>
    <row r="597" spans="6:6" x14ac:dyDescent="0.25">
      <c r="F597" s="16"/>
    </row>
    <row r="598" spans="6:6" x14ac:dyDescent="0.25">
      <c r="F598" s="16"/>
    </row>
    <row r="599" spans="6:6" x14ac:dyDescent="0.25">
      <c r="F599" s="16"/>
    </row>
    <row r="600" spans="6:6" x14ac:dyDescent="0.25">
      <c r="F600" s="16"/>
    </row>
    <row r="601" spans="6:6" x14ac:dyDescent="0.25">
      <c r="F601" s="16"/>
    </row>
    <row r="602" spans="6:6" x14ac:dyDescent="0.25">
      <c r="F602" s="16"/>
    </row>
    <row r="603" spans="6:6" x14ac:dyDescent="0.25">
      <c r="F603" s="16"/>
    </row>
    <row r="604" spans="6:6" x14ac:dyDescent="0.25">
      <c r="F604" s="16"/>
    </row>
    <row r="605" spans="6:6" x14ac:dyDescent="0.25">
      <c r="F605" s="16"/>
    </row>
    <row r="606" spans="6:6" x14ac:dyDescent="0.25">
      <c r="F606" s="16"/>
    </row>
    <row r="607" spans="6:6" x14ac:dyDescent="0.25">
      <c r="F607" s="16"/>
    </row>
    <row r="608" spans="6:6" x14ac:dyDescent="0.25">
      <c r="F608" s="16"/>
    </row>
    <row r="609" spans="6:6" x14ac:dyDescent="0.25">
      <c r="F609" s="16"/>
    </row>
    <row r="610" spans="6:6" x14ac:dyDescent="0.25">
      <c r="F610" s="16"/>
    </row>
    <row r="611" spans="6:6" x14ac:dyDescent="0.25">
      <c r="F611" s="16"/>
    </row>
    <row r="612" spans="6:6" x14ac:dyDescent="0.25">
      <c r="F612" s="16"/>
    </row>
    <row r="613" spans="6:6" x14ac:dyDescent="0.25">
      <c r="F613" s="16"/>
    </row>
    <row r="614" spans="6:6" x14ac:dyDescent="0.25">
      <c r="F614" s="16"/>
    </row>
    <row r="615" spans="6:6" x14ac:dyDescent="0.25">
      <c r="F615" s="16"/>
    </row>
    <row r="616" spans="6:6" x14ac:dyDescent="0.25">
      <c r="F616" s="16"/>
    </row>
    <row r="617" spans="6:6" x14ac:dyDescent="0.25">
      <c r="F617" s="16"/>
    </row>
    <row r="618" spans="6:6" x14ac:dyDescent="0.25">
      <c r="F618" s="16"/>
    </row>
    <row r="619" spans="6:6" x14ac:dyDescent="0.25">
      <c r="F619" s="16"/>
    </row>
    <row r="620" spans="6:6" x14ac:dyDescent="0.25">
      <c r="F620" s="16"/>
    </row>
    <row r="621" spans="6:6" x14ac:dyDescent="0.25">
      <c r="F621" s="16"/>
    </row>
    <row r="622" spans="6:6" x14ac:dyDescent="0.25">
      <c r="F622" s="16"/>
    </row>
    <row r="623" spans="6:6" x14ac:dyDescent="0.25">
      <c r="F623" s="16"/>
    </row>
    <row r="624" spans="6:6" x14ac:dyDescent="0.25">
      <c r="F624" s="16"/>
    </row>
    <row r="625" spans="6:6" x14ac:dyDescent="0.25">
      <c r="F625" s="16"/>
    </row>
    <row r="626" spans="6:6" x14ac:dyDescent="0.25">
      <c r="F626" s="16"/>
    </row>
    <row r="627" spans="6:6" x14ac:dyDescent="0.25">
      <c r="F627" s="16"/>
    </row>
    <row r="628" spans="6:6" x14ac:dyDescent="0.25">
      <c r="F628" s="16"/>
    </row>
    <row r="629" spans="6:6" x14ac:dyDescent="0.25">
      <c r="F629" s="16"/>
    </row>
    <row r="630" spans="6:6" x14ac:dyDescent="0.25">
      <c r="F630" s="16"/>
    </row>
    <row r="631" spans="6:6" x14ac:dyDescent="0.25">
      <c r="F631" s="16"/>
    </row>
    <row r="632" spans="6:6" x14ac:dyDescent="0.25">
      <c r="F632" s="16"/>
    </row>
    <row r="633" spans="6:6" x14ac:dyDescent="0.25">
      <c r="F633" s="16"/>
    </row>
    <row r="634" spans="6:6" x14ac:dyDescent="0.25">
      <c r="F634" s="16"/>
    </row>
    <row r="635" spans="6:6" x14ac:dyDescent="0.25">
      <c r="F635" s="16"/>
    </row>
    <row r="636" spans="6:6" x14ac:dyDescent="0.25">
      <c r="F636" s="16"/>
    </row>
    <row r="637" spans="6:6" x14ac:dyDescent="0.25">
      <c r="F637" s="16"/>
    </row>
    <row r="638" spans="6:6" x14ac:dyDescent="0.25">
      <c r="F638" s="16"/>
    </row>
    <row r="639" spans="6:6" x14ac:dyDescent="0.25">
      <c r="F639" s="16"/>
    </row>
    <row r="640" spans="6:6" x14ac:dyDescent="0.25">
      <c r="F640" s="16"/>
    </row>
    <row r="641" spans="6:6" x14ac:dyDescent="0.25">
      <c r="F641" s="16"/>
    </row>
    <row r="642" spans="6:6" x14ac:dyDescent="0.25">
      <c r="F642" s="16"/>
    </row>
    <row r="643" spans="6:6" x14ac:dyDescent="0.25">
      <c r="F643" s="16"/>
    </row>
    <row r="644" spans="6:6" x14ac:dyDescent="0.25">
      <c r="F644" s="16"/>
    </row>
    <row r="645" spans="6:6" x14ac:dyDescent="0.25">
      <c r="F645" s="16"/>
    </row>
    <row r="646" spans="6:6" x14ac:dyDescent="0.25">
      <c r="F646" s="16"/>
    </row>
    <row r="647" spans="6:6" x14ac:dyDescent="0.25">
      <c r="F647" s="16"/>
    </row>
    <row r="648" spans="6:6" x14ac:dyDescent="0.25">
      <c r="F648" s="16"/>
    </row>
    <row r="649" spans="6:6" x14ac:dyDescent="0.25">
      <c r="F649" s="16"/>
    </row>
    <row r="650" spans="6:6" x14ac:dyDescent="0.25">
      <c r="F650" s="16"/>
    </row>
    <row r="651" spans="6:6" x14ac:dyDescent="0.25">
      <c r="F651" s="16"/>
    </row>
    <row r="652" spans="6:6" x14ac:dyDescent="0.25">
      <c r="F652" s="16"/>
    </row>
    <row r="653" spans="6:6" x14ac:dyDescent="0.25">
      <c r="F653" s="16"/>
    </row>
    <row r="654" spans="6:6" x14ac:dyDescent="0.25">
      <c r="F654" s="16"/>
    </row>
    <row r="655" spans="6:6" x14ac:dyDescent="0.25">
      <c r="F655" s="16"/>
    </row>
    <row r="656" spans="6:6" x14ac:dyDescent="0.25">
      <c r="F656" s="16"/>
    </row>
    <row r="657" spans="6:6" x14ac:dyDescent="0.25">
      <c r="F657" s="16"/>
    </row>
    <row r="658" spans="6:6" x14ac:dyDescent="0.25">
      <c r="F658" s="16"/>
    </row>
    <row r="659" spans="6:6" x14ac:dyDescent="0.25">
      <c r="F659" s="16"/>
    </row>
    <row r="660" spans="6:6" x14ac:dyDescent="0.25">
      <c r="F660" s="16"/>
    </row>
    <row r="661" spans="6:6" x14ac:dyDescent="0.25">
      <c r="F661" s="16"/>
    </row>
    <row r="662" spans="6:6" x14ac:dyDescent="0.25">
      <c r="F662" s="16"/>
    </row>
    <row r="663" spans="6:6" x14ac:dyDescent="0.25">
      <c r="F663" s="16"/>
    </row>
    <row r="664" spans="6:6" x14ac:dyDescent="0.25">
      <c r="F664" s="16"/>
    </row>
    <row r="665" spans="6:6" x14ac:dyDescent="0.25">
      <c r="F665" s="16"/>
    </row>
    <row r="666" spans="6:6" x14ac:dyDescent="0.25">
      <c r="F666" s="16"/>
    </row>
    <row r="667" spans="6:6" x14ac:dyDescent="0.25">
      <c r="F667" s="16"/>
    </row>
    <row r="668" spans="6:6" x14ac:dyDescent="0.25">
      <c r="F668" s="16"/>
    </row>
    <row r="669" spans="6:6" x14ac:dyDescent="0.25">
      <c r="F669" s="16"/>
    </row>
    <row r="670" spans="6:6" x14ac:dyDescent="0.25">
      <c r="F670" s="16"/>
    </row>
    <row r="671" spans="6:6" x14ac:dyDescent="0.25">
      <c r="F671" s="16"/>
    </row>
    <row r="672" spans="6:6" x14ac:dyDescent="0.25">
      <c r="F672" s="16"/>
    </row>
    <row r="673" spans="6:6" x14ac:dyDescent="0.25">
      <c r="F673" s="16"/>
    </row>
    <row r="674" spans="6:6" x14ac:dyDescent="0.25">
      <c r="F674" s="16"/>
    </row>
    <row r="675" spans="6:6" x14ac:dyDescent="0.25">
      <c r="F675" s="16"/>
    </row>
    <row r="676" spans="6:6" x14ac:dyDescent="0.25">
      <c r="F676" s="16"/>
    </row>
    <row r="677" spans="6:6" x14ac:dyDescent="0.25">
      <c r="F677" s="16"/>
    </row>
    <row r="678" spans="6:6" x14ac:dyDescent="0.25">
      <c r="F678" s="16"/>
    </row>
    <row r="679" spans="6:6" x14ac:dyDescent="0.25">
      <c r="F679" s="16"/>
    </row>
    <row r="680" spans="6:6" x14ac:dyDescent="0.25">
      <c r="F680" s="16"/>
    </row>
    <row r="681" spans="6:6" x14ac:dyDescent="0.25">
      <c r="F681" s="16"/>
    </row>
    <row r="682" spans="6:6" x14ac:dyDescent="0.25">
      <c r="F682" s="16"/>
    </row>
    <row r="683" spans="6:6" x14ac:dyDescent="0.25">
      <c r="F683" s="16"/>
    </row>
    <row r="684" spans="6:6" x14ac:dyDescent="0.25">
      <c r="F684" s="16"/>
    </row>
    <row r="685" spans="6:6" x14ac:dyDescent="0.25">
      <c r="F685" s="16"/>
    </row>
    <row r="686" spans="6:6" x14ac:dyDescent="0.25">
      <c r="F686" s="16"/>
    </row>
    <row r="687" spans="6:6" x14ac:dyDescent="0.25">
      <c r="F687" s="16"/>
    </row>
    <row r="688" spans="6:6" x14ac:dyDescent="0.25">
      <c r="F688" s="16"/>
    </row>
    <row r="689" spans="6:6" x14ac:dyDescent="0.25">
      <c r="F689" s="16"/>
    </row>
    <row r="690" spans="6:6" x14ac:dyDescent="0.25">
      <c r="F690" s="16"/>
    </row>
    <row r="691" spans="6:6" x14ac:dyDescent="0.25">
      <c r="F691" s="16"/>
    </row>
    <row r="692" spans="6:6" x14ac:dyDescent="0.25">
      <c r="F692" s="16"/>
    </row>
    <row r="693" spans="6:6" x14ac:dyDescent="0.25">
      <c r="F693" s="16"/>
    </row>
    <row r="694" spans="6:6" x14ac:dyDescent="0.25">
      <c r="F694" s="16"/>
    </row>
    <row r="695" spans="6:6" x14ac:dyDescent="0.25">
      <c r="F695" s="16"/>
    </row>
    <row r="696" spans="6:6" x14ac:dyDescent="0.25">
      <c r="F696" s="16"/>
    </row>
    <row r="697" spans="6:6" x14ac:dyDescent="0.25">
      <c r="F697" s="16"/>
    </row>
    <row r="698" spans="6:6" x14ac:dyDescent="0.25">
      <c r="F698" s="16"/>
    </row>
    <row r="699" spans="6:6" x14ac:dyDescent="0.25">
      <c r="F699" s="16"/>
    </row>
    <row r="700" spans="6:6" x14ac:dyDescent="0.25">
      <c r="F700" s="16"/>
    </row>
    <row r="701" spans="6:6" x14ac:dyDescent="0.25">
      <c r="F701" s="16"/>
    </row>
    <row r="702" spans="6:6" x14ac:dyDescent="0.25">
      <c r="F702" s="16"/>
    </row>
    <row r="703" spans="6:6" x14ac:dyDescent="0.25">
      <c r="F703" s="16"/>
    </row>
    <row r="704" spans="6:6" x14ac:dyDescent="0.25">
      <c r="F704" s="16"/>
    </row>
    <row r="705" spans="6:6" x14ac:dyDescent="0.25">
      <c r="F705" s="16"/>
    </row>
    <row r="706" spans="6:6" x14ac:dyDescent="0.25">
      <c r="F706" s="16"/>
    </row>
    <row r="707" spans="6:6" x14ac:dyDescent="0.25">
      <c r="F707" s="16"/>
    </row>
    <row r="708" spans="6:6" x14ac:dyDescent="0.25">
      <c r="F708" s="16"/>
    </row>
    <row r="709" spans="6:6" x14ac:dyDescent="0.25">
      <c r="F709" s="16"/>
    </row>
    <row r="710" spans="6:6" x14ac:dyDescent="0.25">
      <c r="F710" s="16"/>
    </row>
    <row r="711" spans="6:6" x14ac:dyDescent="0.25">
      <c r="F711" s="16"/>
    </row>
    <row r="712" spans="6:6" x14ac:dyDescent="0.25">
      <c r="F712" s="16"/>
    </row>
    <row r="713" spans="6:6" x14ac:dyDescent="0.25">
      <c r="F713" s="16"/>
    </row>
    <row r="714" spans="6:6" x14ac:dyDescent="0.25">
      <c r="F714" s="16"/>
    </row>
    <row r="715" spans="6:6" x14ac:dyDescent="0.25">
      <c r="F715" s="16"/>
    </row>
    <row r="716" spans="6:6" x14ac:dyDescent="0.25">
      <c r="F716" s="16"/>
    </row>
    <row r="717" spans="6:6" x14ac:dyDescent="0.25">
      <c r="F717" s="16"/>
    </row>
    <row r="718" spans="6:6" x14ac:dyDescent="0.25">
      <c r="F718" s="16"/>
    </row>
    <row r="719" spans="6:6" x14ac:dyDescent="0.25">
      <c r="F719" s="16"/>
    </row>
    <row r="720" spans="6:6" x14ac:dyDescent="0.25">
      <c r="F720" s="16"/>
    </row>
    <row r="721" spans="6:6" x14ac:dyDescent="0.25">
      <c r="F721" s="16"/>
    </row>
    <row r="722" spans="6:6" x14ac:dyDescent="0.25">
      <c r="F722" s="16"/>
    </row>
    <row r="723" spans="6:6" x14ac:dyDescent="0.25">
      <c r="F723" s="16"/>
    </row>
    <row r="724" spans="6:6" x14ac:dyDescent="0.25">
      <c r="F724" s="16"/>
    </row>
    <row r="725" spans="6:6" x14ac:dyDescent="0.25">
      <c r="F725" s="16"/>
    </row>
    <row r="726" spans="6:6" x14ac:dyDescent="0.25">
      <c r="F726" s="16"/>
    </row>
    <row r="727" spans="6:6" x14ac:dyDescent="0.25">
      <c r="F727" s="16"/>
    </row>
    <row r="728" spans="6:6" x14ac:dyDescent="0.25">
      <c r="F728" s="16"/>
    </row>
    <row r="729" spans="6:6" x14ac:dyDescent="0.25">
      <c r="F729" s="16"/>
    </row>
    <row r="730" spans="6:6" x14ac:dyDescent="0.25">
      <c r="F730" s="16"/>
    </row>
    <row r="731" spans="6:6" x14ac:dyDescent="0.25">
      <c r="F731" s="16"/>
    </row>
    <row r="732" spans="6:6" x14ac:dyDescent="0.25">
      <c r="F732" s="16"/>
    </row>
    <row r="733" spans="6:6" x14ac:dyDescent="0.25">
      <c r="F733" s="16"/>
    </row>
    <row r="734" spans="6:6" x14ac:dyDescent="0.25">
      <c r="F734" s="16"/>
    </row>
    <row r="735" spans="6:6" x14ac:dyDescent="0.25">
      <c r="F735" s="16"/>
    </row>
    <row r="736" spans="6:6" x14ac:dyDescent="0.25">
      <c r="F736" s="16"/>
    </row>
    <row r="737" spans="6:6" x14ac:dyDescent="0.25">
      <c r="F737" s="16"/>
    </row>
    <row r="738" spans="6:6" x14ac:dyDescent="0.25">
      <c r="F738" s="16"/>
    </row>
    <row r="739" spans="6:6" x14ac:dyDescent="0.25">
      <c r="F739" s="16"/>
    </row>
    <row r="740" spans="6:6" x14ac:dyDescent="0.25">
      <c r="F740" s="16"/>
    </row>
    <row r="741" spans="6:6" x14ac:dyDescent="0.25">
      <c r="F741" s="16"/>
    </row>
    <row r="742" spans="6:6" x14ac:dyDescent="0.25">
      <c r="F742" s="16"/>
    </row>
    <row r="743" spans="6:6" x14ac:dyDescent="0.25">
      <c r="F743" s="16"/>
    </row>
    <row r="744" spans="6:6" x14ac:dyDescent="0.25">
      <c r="F744" s="16"/>
    </row>
    <row r="745" spans="6:6" x14ac:dyDescent="0.25">
      <c r="F745" s="16"/>
    </row>
    <row r="746" spans="6:6" x14ac:dyDescent="0.25">
      <c r="F746" s="16"/>
    </row>
    <row r="747" spans="6:6" x14ac:dyDescent="0.25">
      <c r="F747" s="16"/>
    </row>
    <row r="748" spans="6:6" x14ac:dyDescent="0.25">
      <c r="F748" s="16"/>
    </row>
    <row r="749" spans="6:6" x14ac:dyDescent="0.25">
      <c r="F749" s="16"/>
    </row>
    <row r="750" spans="6:6" x14ac:dyDescent="0.25">
      <c r="F750" s="16"/>
    </row>
    <row r="751" spans="6:6" x14ac:dyDescent="0.25">
      <c r="F751" s="16"/>
    </row>
    <row r="752" spans="6:6" x14ac:dyDescent="0.25">
      <c r="F752" s="16"/>
    </row>
    <row r="753" spans="6:6" x14ac:dyDescent="0.25">
      <c r="F753" s="16"/>
    </row>
    <row r="754" spans="6:6" x14ac:dyDescent="0.25">
      <c r="F754" s="16"/>
    </row>
    <row r="755" spans="6:6" x14ac:dyDescent="0.25">
      <c r="F755" s="16"/>
    </row>
    <row r="756" spans="6:6" x14ac:dyDescent="0.25">
      <c r="F756" s="16"/>
    </row>
    <row r="757" spans="6:6" x14ac:dyDescent="0.25">
      <c r="F757" s="16"/>
    </row>
    <row r="758" spans="6:6" x14ac:dyDescent="0.25">
      <c r="F758" s="16"/>
    </row>
    <row r="759" spans="6:6" x14ac:dyDescent="0.25">
      <c r="F759" s="16"/>
    </row>
    <row r="760" spans="6:6" x14ac:dyDescent="0.25">
      <c r="F760" s="16"/>
    </row>
    <row r="761" spans="6:6" x14ac:dyDescent="0.25">
      <c r="F761" s="16"/>
    </row>
    <row r="762" spans="6:6" x14ac:dyDescent="0.25">
      <c r="F762" s="16"/>
    </row>
    <row r="763" spans="6:6" x14ac:dyDescent="0.25">
      <c r="F763" s="16"/>
    </row>
    <row r="764" spans="6:6" x14ac:dyDescent="0.25">
      <c r="F764" s="16"/>
    </row>
    <row r="765" spans="6:6" x14ac:dyDescent="0.25">
      <c r="F765" s="16"/>
    </row>
    <row r="766" spans="6:6" x14ac:dyDescent="0.25">
      <c r="F766" s="16"/>
    </row>
    <row r="767" spans="6:6" x14ac:dyDescent="0.25">
      <c r="F767" s="16"/>
    </row>
    <row r="768" spans="6:6" x14ac:dyDescent="0.25">
      <c r="F768" s="16"/>
    </row>
    <row r="769" spans="6:6" x14ac:dyDescent="0.25">
      <c r="F769" s="16"/>
    </row>
    <row r="770" spans="6:6" x14ac:dyDescent="0.25">
      <c r="F770" s="16"/>
    </row>
    <row r="771" spans="6:6" x14ac:dyDescent="0.25">
      <c r="F771" s="16"/>
    </row>
    <row r="772" spans="6:6" x14ac:dyDescent="0.25">
      <c r="F772" s="16"/>
    </row>
    <row r="773" spans="6:6" x14ac:dyDescent="0.25">
      <c r="F773" s="16"/>
    </row>
    <row r="774" spans="6:6" x14ac:dyDescent="0.25">
      <c r="F774" s="16"/>
    </row>
    <row r="775" spans="6:6" x14ac:dyDescent="0.25">
      <c r="F775" s="16"/>
    </row>
    <row r="776" spans="6:6" x14ac:dyDescent="0.25">
      <c r="F776" s="16"/>
    </row>
    <row r="777" spans="6:6" x14ac:dyDescent="0.25">
      <c r="F777" s="16"/>
    </row>
    <row r="778" spans="6:6" x14ac:dyDescent="0.25">
      <c r="F778" s="16"/>
    </row>
    <row r="779" spans="6:6" x14ac:dyDescent="0.25">
      <c r="F779" s="16"/>
    </row>
    <row r="780" spans="6:6" x14ac:dyDescent="0.25">
      <c r="F780" s="16"/>
    </row>
    <row r="781" spans="6:6" x14ac:dyDescent="0.25">
      <c r="F781" s="16"/>
    </row>
    <row r="782" spans="6:6" x14ac:dyDescent="0.25">
      <c r="F782" s="16"/>
    </row>
    <row r="783" spans="6:6" x14ac:dyDescent="0.25">
      <c r="F783" s="16"/>
    </row>
    <row r="784" spans="6:6" x14ac:dyDescent="0.25">
      <c r="F784" s="16"/>
    </row>
    <row r="785" spans="6:6" x14ac:dyDescent="0.25">
      <c r="F785" s="16"/>
    </row>
    <row r="786" spans="6:6" x14ac:dyDescent="0.25">
      <c r="F786" s="16"/>
    </row>
    <row r="787" spans="6:6" x14ac:dyDescent="0.25">
      <c r="F787" s="16"/>
    </row>
    <row r="788" spans="6:6" x14ac:dyDescent="0.25">
      <c r="F788" s="16"/>
    </row>
    <row r="789" spans="6:6" x14ac:dyDescent="0.25">
      <c r="F789" s="16"/>
    </row>
    <row r="790" spans="6:6" x14ac:dyDescent="0.25">
      <c r="F790" s="16"/>
    </row>
    <row r="791" spans="6:6" x14ac:dyDescent="0.25">
      <c r="F791" s="16"/>
    </row>
    <row r="792" spans="6:6" x14ac:dyDescent="0.25">
      <c r="F792" s="16"/>
    </row>
    <row r="793" spans="6:6" x14ac:dyDescent="0.25">
      <c r="F793" s="16"/>
    </row>
    <row r="794" spans="6:6" x14ac:dyDescent="0.25">
      <c r="F794" s="16"/>
    </row>
    <row r="795" spans="6:6" x14ac:dyDescent="0.25">
      <c r="F795" s="16"/>
    </row>
    <row r="796" spans="6:6" x14ac:dyDescent="0.25">
      <c r="F796" s="16"/>
    </row>
    <row r="797" spans="6:6" x14ac:dyDescent="0.25">
      <c r="F797" s="16"/>
    </row>
    <row r="798" spans="6:6" x14ac:dyDescent="0.25">
      <c r="F798" s="16"/>
    </row>
    <row r="799" spans="6:6" x14ac:dyDescent="0.25">
      <c r="F799" s="16"/>
    </row>
    <row r="800" spans="6:6" x14ac:dyDescent="0.25">
      <c r="F800" s="16"/>
    </row>
    <row r="801" spans="6:6" x14ac:dyDescent="0.25">
      <c r="F801" s="16"/>
    </row>
    <row r="802" spans="6:6" x14ac:dyDescent="0.25">
      <c r="F802" s="16"/>
    </row>
    <row r="803" spans="6:6" x14ac:dyDescent="0.25">
      <c r="F803" s="16"/>
    </row>
    <row r="804" spans="6:6" x14ac:dyDescent="0.25">
      <c r="F804" s="16"/>
    </row>
    <row r="805" spans="6:6" x14ac:dyDescent="0.25">
      <c r="F805" s="16"/>
    </row>
    <row r="806" spans="6:6" x14ac:dyDescent="0.25">
      <c r="F806" s="16"/>
    </row>
    <row r="807" spans="6:6" x14ac:dyDescent="0.25">
      <c r="F807" s="16"/>
    </row>
    <row r="808" spans="6:6" x14ac:dyDescent="0.25">
      <c r="F808" s="16"/>
    </row>
    <row r="809" spans="6:6" x14ac:dyDescent="0.25">
      <c r="F809" s="16"/>
    </row>
    <row r="810" spans="6:6" x14ac:dyDescent="0.25">
      <c r="F810" s="16"/>
    </row>
    <row r="811" spans="6:6" x14ac:dyDescent="0.25">
      <c r="F811" s="16"/>
    </row>
    <row r="812" spans="6:6" x14ac:dyDescent="0.25">
      <c r="F812" s="16"/>
    </row>
    <row r="813" spans="6:6" x14ac:dyDescent="0.25">
      <c r="F813" s="16"/>
    </row>
    <row r="814" spans="6:6" x14ac:dyDescent="0.25">
      <c r="F814" s="16"/>
    </row>
    <row r="815" spans="6:6" x14ac:dyDescent="0.25">
      <c r="F815" s="16"/>
    </row>
    <row r="816" spans="6:6" x14ac:dyDescent="0.25">
      <c r="F816" s="16"/>
    </row>
    <row r="817" spans="6:6" x14ac:dyDescent="0.25">
      <c r="F817" s="16"/>
    </row>
    <row r="818" spans="6:6" x14ac:dyDescent="0.25">
      <c r="F818" s="16"/>
    </row>
    <row r="819" spans="6:6" x14ac:dyDescent="0.25">
      <c r="F819" s="16"/>
    </row>
    <row r="820" spans="6:6" x14ac:dyDescent="0.25">
      <c r="F820" s="16"/>
    </row>
    <row r="821" spans="6:6" x14ac:dyDescent="0.25">
      <c r="F821" s="16"/>
    </row>
    <row r="822" spans="6:6" x14ac:dyDescent="0.25">
      <c r="F822" s="16"/>
    </row>
    <row r="823" spans="6:6" x14ac:dyDescent="0.25">
      <c r="F823" s="16"/>
    </row>
    <row r="824" spans="6:6" x14ac:dyDescent="0.25">
      <c r="F824" s="16"/>
    </row>
    <row r="825" spans="6:6" x14ac:dyDescent="0.25">
      <c r="F825" s="16"/>
    </row>
    <row r="826" spans="6:6" x14ac:dyDescent="0.25">
      <c r="F826" s="16"/>
    </row>
    <row r="827" spans="6:6" x14ac:dyDescent="0.25">
      <c r="F827" s="16"/>
    </row>
    <row r="828" spans="6:6" x14ac:dyDescent="0.25">
      <c r="F828" s="16"/>
    </row>
    <row r="829" spans="6:6" x14ac:dyDescent="0.25">
      <c r="F829" s="16"/>
    </row>
    <row r="830" spans="6:6" x14ac:dyDescent="0.25">
      <c r="F830" s="16"/>
    </row>
    <row r="831" spans="6:6" x14ac:dyDescent="0.25">
      <c r="F831" s="16"/>
    </row>
    <row r="832" spans="6:6" x14ac:dyDescent="0.25">
      <c r="F832" s="16"/>
    </row>
    <row r="833" spans="6:6" x14ac:dyDescent="0.25">
      <c r="F833" s="16"/>
    </row>
    <row r="834" spans="6:6" x14ac:dyDescent="0.25">
      <c r="F834" s="16"/>
    </row>
    <row r="835" spans="6:6" x14ac:dyDescent="0.25">
      <c r="F835" s="16"/>
    </row>
    <row r="836" spans="6:6" x14ac:dyDescent="0.25">
      <c r="F836" s="16"/>
    </row>
    <row r="837" spans="6:6" x14ac:dyDescent="0.25">
      <c r="F837" s="16"/>
    </row>
    <row r="838" spans="6:6" x14ac:dyDescent="0.25">
      <c r="F838" s="16"/>
    </row>
    <row r="839" spans="6:6" x14ac:dyDescent="0.25">
      <c r="F839" s="16"/>
    </row>
    <row r="840" spans="6:6" x14ac:dyDescent="0.25">
      <c r="F840" s="16"/>
    </row>
    <row r="841" spans="6:6" x14ac:dyDescent="0.25">
      <c r="F841" s="16"/>
    </row>
    <row r="842" spans="6:6" x14ac:dyDescent="0.25">
      <c r="F842" s="16"/>
    </row>
    <row r="843" spans="6:6" x14ac:dyDescent="0.25">
      <c r="F843" s="16"/>
    </row>
    <row r="844" spans="6:6" x14ac:dyDescent="0.25">
      <c r="F844" s="16"/>
    </row>
    <row r="845" spans="6:6" x14ac:dyDescent="0.25">
      <c r="F845" s="16"/>
    </row>
    <row r="846" spans="6:6" x14ac:dyDescent="0.25">
      <c r="F846" s="16"/>
    </row>
    <row r="847" spans="6:6" x14ac:dyDescent="0.25">
      <c r="F847" s="16"/>
    </row>
    <row r="848" spans="6:6" x14ac:dyDescent="0.25">
      <c r="F848" s="16"/>
    </row>
    <row r="849" spans="6:6" x14ac:dyDescent="0.25">
      <c r="F849" s="16"/>
    </row>
    <row r="850" spans="6:6" x14ac:dyDescent="0.25">
      <c r="F850" s="16"/>
    </row>
    <row r="851" spans="6:6" x14ac:dyDescent="0.25">
      <c r="F851" s="16"/>
    </row>
    <row r="852" spans="6:6" x14ac:dyDescent="0.25">
      <c r="F852" s="16"/>
    </row>
    <row r="853" spans="6:6" x14ac:dyDescent="0.25">
      <c r="F853" s="16"/>
    </row>
    <row r="854" spans="6:6" x14ac:dyDescent="0.25">
      <c r="F854" s="16"/>
    </row>
    <row r="855" spans="6:6" x14ac:dyDescent="0.25">
      <c r="F855" s="16"/>
    </row>
    <row r="856" spans="6:6" x14ac:dyDescent="0.25">
      <c r="F856" s="16"/>
    </row>
    <row r="857" spans="6:6" x14ac:dyDescent="0.25">
      <c r="F857" s="16"/>
    </row>
    <row r="858" spans="6:6" x14ac:dyDescent="0.25">
      <c r="F858" s="16"/>
    </row>
    <row r="859" spans="6:6" x14ac:dyDescent="0.25">
      <c r="F859" s="16"/>
    </row>
    <row r="860" spans="6:6" x14ac:dyDescent="0.25">
      <c r="F860" s="16"/>
    </row>
    <row r="861" spans="6:6" x14ac:dyDescent="0.25">
      <c r="F861" s="16"/>
    </row>
    <row r="862" spans="6:6" x14ac:dyDescent="0.25">
      <c r="F862" s="16"/>
    </row>
    <row r="863" spans="6:6" x14ac:dyDescent="0.25">
      <c r="F863" s="16"/>
    </row>
    <row r="864" spans="6:6" x14ac:dyDescent="0.25">
      <c r="F864" s="16"/>
    </row>
    <row r="865" spans="6:6" x14ac:dyDescent="0.25">
      <c r="F865" s="16"/>
    </row>
    <row r="866" spans="6:6" x14ac:dyDescent="0.25">
      <c r="F866" s="16"/>
    </row>
    <row r="867" spans="6:6" x14ac:dyDescent="0.25">
      <c r="F867" s="16"/>
    </row>
    <row r="868" spans="6:6" x14ac:dyDescent="0.25">
      <c r="F868" s="16"/>
    </row>
    <row r="869" spans="6:6" x14ac:dyDescent="0.25">
      <c r="F869" s="16"/>
    </row>
    <row r="870" spans="6:6" x14ac:dyDescent="0.25">
      <c r="F870" s="16"/>
    </row>
    <row r="871" spans="6:6" x14ac:dyDescent="0.25">
      <c r="F871" s="16"/>
    </row>
    <row r="872" spans="6:6" x14ac:dyDescent="0.25">
      <c r="F872" s="16"/>
    </row>
    <row r="873" spans="6:6" x14ac:dyDescent="0.25">
      <c r="F873" s="16"/>
    </row>
    <row r="874" spans="6:6" x14ac:dyDescent="0.25">
      <c r="F874" s="16"/>
    </row>
    <row r="875" spans="6:6" x14ac:dyDescent="0.25">
      <c r="F875" s="16"/>
    </row>
    <row r="876" spans="6:6" x14ac:dyDescent="0.25">
      <c r="F876" s="16"/>
    </row>
    <row r="877" spans="6:6" x14ac:dyDescent="0.25">
      <c r="F877" s="16"/>
    </row>
    <row r="878" spans="6:6" x14ac:dyDescent="0.25">
      <c r="F878" s="16"/>
    </row>
    <row r="879" spans="6:6" x14ac:dyDescent="0.25">
      <c r="F879" s="16"/>
    </row>
    <row r="880" spans="6:6" x14ac:dyDescent="0.25">
      <c r="F880" s="16"/>
    </row>
    <row r="881" spans="6:6" x14ac:dyDescent="0.25">
      <c r="F881" s="16"/>
    </row>
    <row r="882" spans="6:6" x14ac:dyDescent="0.25">
      <c r="F882" s="16"/>
    </row>
    <row r="883" spans="6:6" x14ac:dyDescent="0.25">
      <c r="F883" s="16"/>
    </row>
    <row r="884" spans="6:6" x14ac:dyDescent="0.25">
      <c r="F884" s="16"/>
    </row>
    <row r="885" spans="6:6" x14ac:dyDescent="0.25">
      <c r="F885" s="16"/>
    </row>
    <row r="886" spans="6:6" x14ac:dyDescent="0.25">
      <c r="F886" s="16"/>
    </row>
    <row r="887" spans="6:6" x14ac:dyDescent="0.25">
      <c r="F887" s="16"/>
    </row>
    <row r="888" spans="6:6" x14ac:dyDescent="0.25">
      <c r="F888" s="16"/>
    </row>
    <row r="889" spans="6:6" x14ac:dyDescent="0.25">
      <c r="F889" s="16"/>
    </row>
    <row r="890" spans="6:6" x14ac:dyDescent="0.25">
      <c r="F890" s="16"/>
    </row>
    <row r="891" spans="6:6" x14ac:dyDescent="0.25">
      <c r="F891" s="16"/>
    </row>
    <row r="892" spans="6:6" x14ac:dyDescent="0.25">
      <c r="F892" s="16"/>
    </row>
    <row r="893" spans="6:6" x14ac:dyDescent="0.25">
      <c r="F893" s="16"/>
    </row>
    <row r="894" spans="6:6" x14ac:dyDescent="0.25">
      <c r="F894" s="16"/>
    </row>
    <row r="895" spans="6:6" x14ac:dyDescent="0.25">
      <c r="F895" s="16"/>
    </row>
    <row r="896" spans="6:6" x14ac:dyDescent="0.25">
      <c r="F896" s="16"/>
    </row>
    <row r="897" spans="6:6" x14ac:dyDescent="0.25">
      <c r="F897" s="16"/>
    </row>
    <row r="898" spans="6:6" x14ac:dyDescent="0.25">
      <c r="F898" s="16"/>
    </row>
    <row r="899" spans="6:6" x14ac:dyDescent="0.25">
      <c r="F899" s="16"/>
    </row>
    <row r="900" spans="6:6" x14ac:dyDescent="0.25">
      <c r="F900" s="16"/>
    </row>
    <row r="901" spans="6:6" x14ac:dyDescent="0.25">
      <c r="F901" s="16"/>
    </row>
    <row r="902" spans="6:6" x14ac:dyDescent="0.25">
      <c r="F902" s="16"/>
    </row>
    <row r="903" spans="6:6" x14ac:dyDescent="0.25">
      <c r="F903" s="16"/>
    </row>
    <row r="904" spans="6:6" x14ac:dyDescent="0.25">
      <c r="F904" s="16"/>
    </row>
    <row r="905" spans="6:6" x14ac:dyDescent="0.25">
      <c r="F905" s="16"/>
    </row>
    <row r="906" spans="6:6" x14ac:dyDescent="0.25">
      <c r="F906" s="16"/>
    </row>
    <row r="907" spans="6:6" x14ac:dyDescent="0.25">
      <c r="F907" s="16"/>
    </row>
    <row r="908" spans="6:6" x14ac:dyDescent="0.25">
      <c r="F908" s="16"/>
    </row>
    <row r="909" spans="6:6" x14ac:dyDescent="0.25">
      <c r="F909" s="16"/>
    </row>
    <row r="910" spans="6:6" x14ac:dyDescent="0.25">
      <c r="F910" s="16"/>
    </row>
    <row r="911" spans="6:6" x14ac:dyDescent="0.25">
      <c r="F911" s="16"/>
    </row>
    <row r="912" spans="6:6" x14ac:dyDescent="0.25">
      <c r="F912" s="16"/>
    </row>
    <row r="913" spans="6:6" x14ac:dyDescent="0.25">
      <c r="F913" s="16"/>
    </row>
    <row r="914" spans="6:6" x14ac:dyDescent="0.25">
      <c r="F914" s="16"/>
    </row>
    <row r="915" spans="6:6" x14ac:dyDescent="0.25">
      <c r="F915" s="16"/>
    </row>
    <row r="916" spans="6:6" x14ac:dyDescent="0.25">
      <c r="F916" s="16"/>
    </row>
    <row r="917" spans="6:6" x14ac:dyDescent="0.25">
      <c r="F917" s="16"/>
    </row>
    <row r="918" spans="6:6" x14ac:dyDescent="0.25">
      <c r="F918" s="16"/>
    </row>
    <row r="919" spans="6:6" x14ac:dyDescent="0.25">
      <c r="F919" s="16"/>
    </row>
    <row r="920" spans="6:6" x14ac:dyDescent="0.25">
      <c r="F920" s="16"/>
    </row>
    <row r="921" spans="6:6" x14ac:dyDescent="0.25">
      <c r="F921" s="16"/>
    </row>
    <row r="922" spans="6:6" x14ac:dyDescent="0.25">
      <c r="F922" s="16"/>
    </row>
    <row r="923" spans="6:6" x14ac:dyDescent="0.25">
      <c r="F923" s="16"/>
    </row>
    <row r="924" spans="6:6" x14ac:dyDescent="0.25">
      <c r="F924" s="16"/>
    </row>
    <row r="925" spans="6:6" x14ac:dyDescent="0.25">
      <c r="F925" s="16"/>
    </row>
    <row r="926" spans="6:6" x14ac:dyDescent="0.25">
      <c r="F926" s="16"/>
    </row>
    <row r="927" spans="6:6" x14ac:dyDescent="0.25">
      <c r="F927" s="16"/>
    </row>
    <row r="928" spans="6:6" x14ac:dyDescent="0.25">
      <c r="F928" s="16"/>
    </row>
    <row r="929" spans="6:6" x14ac:dyDescent="0.25">
      <c r="F929" s="16"/>
    </row>
    <row r="930" spans="6:6" x14ac:dyDescent="0.25">
      <c r="F930" s="16"/>
    </row>
    <row r="931" spans="6:6" x14ac:dyDescent="0.25">
      <c r="F931" s="16"/>
    </row>
    <row r="932" spans="6:6" x14ac:dyDescent="0.25">
      <c r="F932" s="16"/>
    </row>
    <row r="933" spans="6:6" x14ac:dyDescent="0.25">
      <c r="F933" s="16"/>
    </row>
    <row r="934" spans="6:6" x14ac:dyDescent="0.25">
      <c r="F934" s="16"/>
    </row>
    <row r="935" spans="6:6" x14ac:dyDescent="0.25">
      <c r="F935" s="16"/>
    </row>
    <row r="936" spans="6:6" x14ac:dyDescent="0.25">
      <c r="F936" s="16"/>
    </row>
    <row r="937" spans="6:6" x14ac:dyDescent="0.25">
      <c r="F937" s="16"/>
    </row>
    <row r="938" spans="6:6" x14ac:dyDescent="0.25">
      <c r="F938" s="16"/>
    </row>
    <row r="939" spans="6:6" x14ac:dyDescent="0.25">
      <c r="F939" s="16"/>
    </row>
    <row r="940" spans="6:6" x14ac:dyDescent="0.25">
      <c r="F940" s="16"/>
    </row>
    <row r="941" spans="6:6" x14ac:dyDescent="0.25">
      <c r="F941" s="16"/>
    </row>
    <row r="942" spans="6:6" x14ac:dyDescent="0.25">
      <c r="F942" s="16"/>
    </row>
    <row r="943" spans="6:6" x14ac:dyDescent="0.25">
      <c r="F943" s="16"/>
    </row>
    <row r="944" spans="6:6" x14ac:dyDescent="0.25">
      <c r="F944" s="16"/>
    </row>
    <row r="945" spans="6:6" x14ac:dyDescent="0.25">
      <c r="F945" s="16"/>
    </row>
    <row r="946" spans="6:6" x14ac:dyDescent="0.25">
      <c r="F946" s="16"/>
    </row>
    <row r="947" spans="6:6" x14ac:dyDescent="0.25">
      <c r="F947" s="16"/>
    </row>
    <row r="948" spans="6:6" x14ac:dyDescent="0.25">
      <c r="F948" s="16"/>
    </row>
    <row r="949" spans="6:6" x14ac:dyDescent="0.25">
      <c r="F949" s="16"/>
    </row>
    <row r="950" spans="6:6" x14ac:dyDescent="0.25">
      <c r="F950" s="16"/>
    </row>
    <row r="951" spans="6:6" x14ac:dyDescent="0.25">
      <c r="F951" s="16"/>
    </row>
    <row r="952" spans="6:6" x14ac:dyDescent="0.25">
      <c r="F952" s="16"/>
    </row>
    <row r="953" spans="6:6" x14ac:dyDescent="0.25">
      <c r="F953" s="16"/>
    </row>
    <row r="954" spans="6:6" x14ac:dyDescent="0.25">
      <c r="F954" s="16"/>
    </row>
    <row r="955" spans="6:6" x14ac:dyDescent="0.25">
      <c r="F955" s="16"/>
    </row>
    <row r="956" spans="6:6" x14ac:dyDescent="0.25">
      <c r="F956" s="16"/>
    </row>
    <row r="957" spans="6:6" x14ac:dyDescent="0.25">
      <c r="F957" s="16"/>
    </row>
    <row r="958" spans="6:6" x14ac:dyDescent="0.25">
      <c r="F958" s="16"/>
    </row>
    <row r="959" spans="6:6" x14ac:dyDescent="0.25">
      <c r="F959" s="16"/>
    </row>
    <row r="960" spans="6:6" x14ac:dyDescent="0.25">
      <c r="F960" s="16"/>
    </row>
    <row r="961" spans="6:6" x14ac:dyDescent="0.25">
      <c r="F961" s="16"/>
    </row>
    <row r="962" spans="6:6" x14ac:dyDescent="0.25">
      <c r="F962" s="16"/>
    </row>
    <row r="963" spans="6:6" x14ac:dyDescent="0.25">
      <c r="F963" s="16"/>
    </row>
    <row r="964" spans="6:6" x14ac:dyDescent="0.25">
      <c r="F964" s="16"/>
    </row>
    <row r="965" spans="6:6" x14ac:dyDescent="0.25">
      <c r="F965" s="16"/>
    </row>
    <row r="966" spans="6:6" x14ac:dyDescent="0.25">
      <c r="F966" s="16"/>
    </row>
    <row r="967" spans="6:6" x14ac:dyDescent="0.25">
      <c r="F967" s="16"/>
    </row>
    <row r="968" spans="6:6" x14ac:dyDescent="0.25">
      <c r="F968" s="16"/>
    </row>
    <row r="969" spans="6:6" x14ac:dyDescent="0.25">
      <c r="F969" s="16"/>
    </row>
    <row r="970" spans="6:6" x14ac:dyDescent="0.25">
      <c r="F970" s="16"/>
    </row>
    <row r="971" spans="6:6" x14ac:dyDescent="0.25">
      <c r="F971" s="16"/>
    </row>
    <row r="972" spans="6:6" x14ac:dyDescent="0.25">
      <c r="F972" s="16"/>
    </row>
    <row r="973" spans="6:6" x14ac:dyDescent="0.25">
      <c r="F973" s="16"/>
    </row>
    <row r="974" spans="6:6" x14ac:dyDescent="0.25">
      <c r="F974" s="16"/>
    </row>
    <row r="975" spans="6:6" x14ac:dyDescent="0.25">
      <c r="F975" s="16"/>
    </row>
    <row r="976" spans="6:6" x14ac:dyDescent="0.25">
      <c r="F976" s="16"/>
    </row>
    <row r="977" spans="6:6" x14ac:dyDescent="0.25">
      <c r="F977" s="16"/>
    </row>
    <row r="978" spans="6:6" x14ac:dyDescent="0.25">
      <c r="F978" s="16"/>
    </row>
    <row r="979" spans="6:6" x14ac:dyDescent="0.25">
      <c r="F979" s="16"/>
    </row>
    <row r="980" spans="6:6" x14ac:dyDescent="0.25">
      <c r="F980" s="16"/>
    </row>
    <row r="981" spans="6:6" x14ac:dyDescent="0.25">
      <c r="F981" s="16"/>
    </row>
    <row r="982" spans="6:6" x14ac:dyDescent="0.25">
      <c r="F982" s="16"/>
    </row>
    <row r="983" spans="6:6" x14ac:dyDescent="0.25">
      <c r="F983" s="16"/>
    </row>
    <row r="984" spans="6:6" x14ac:dyDescent="0.25">
      <c r="F984" s="16"/>
    </row>
    <row r="985" spans="6:6" x14ac:dyDescent="0.25">
      <c r="F985" s="16"/>
    </row>
    <row r="986" spans="6:6" x14ac:dyDescent="0.25">
      <c r="F986" s="16"/>
    </row>
    <row r="987" spans="6:6" x14ac:dyDescent="0.25">
      <c r="F987" s="16"/>
    </row>
    <row r="988" spans="6:6" x14ac:dyDescent="0.25">
      <c r="F988" s="16"/>
    </row>
    <row r="989" spans="6:6" x14ac:dyDescent="0.25">
      <c r="F989" s="16"/>
    </row>
    <row r="990" spans="6:6" x14ac:dyDescent="0.25">
      <c r="F990" s="16"/>
    </row>
    <row r="991" spans="6:6" x14ac:dyDescent="0.25">
      <c r="F991" s="16"/>
    </row>
    <row r="992" spans="6:6" x14ac:dyDescent="0.25">
      <c r="F992" s="16"/>
    </row>
    <row r="993" spans="6:6" x14ac:dyDescent="0.25">
      <c r="F993" s="16"/>
    </row>
    <row r="994" spans="6:6" x14ac:dyDescent="0.25">
      <c r="F994" s="16"/>
    </row>
    <row r="995" spans="6:6" x14ac:dyDescent="0.25">
      <c r="F995" s="16"/>
    </row>
    <row r="996" spans="6:6" x14ac:dyDescent="0.25">
      <c r="F996" s="16"/>
    </row>
    <row r="997" spans="6:6" x14ac:dyDescent="0.25">
      <c r="F997" s="16"/>
    </row>
    <row r="998" spans="6:6" x14ac:dyDescent="0.25">
      <c r="F998" s="16"/>
    </row>
    <row r="999" spans="6:6" x14ac:dyDescent="0.25">
      <c r="F999" s="16"/>
    </row>
    <row r="1000" spans="6:6" x14ac:dyDescent="0.25">
      <c r="F1000" s="16"/>
    </row>
    <row r="1001" spans="6:6" x14ac:dyDescent="0.25">
      <c r="F1001" s="16"/>
    </row>
  </sheetData>
  <hyperlinks>
    <hyperlink ref="F3" r:id="rId1" xr:uid="{00000000-0004-0000-0000-000001000000}"/>
    <hyperlink ref="E3" r:id="rId2" xr:uid="{00000000-0004-0000-0000-000002000000}"/>
    <hyperlink ref="F4" r:id="rId3" xr:uid="{00000000-0004-0000-0000-000003000000}"/>
    <hyperlink ref="E4" r:id="rId4" xr:uid="{00000000-0004-0000-0000-000004000000}"/>
    <hyperlink ref="F5" r:id="rId5" xr:uid="{00000000-0004-0000-0000-000005000000}"/>
    <hyperlink ref="E5" r:id="rId6" xr:uid="{00000000-0004-0000-0000-000006000000}"/>
    <hyperlink ref="F6" r:id="rId7" xr:uid="{00000000-0004-0000-0000-000007000000}"/>
    <hyperlink ref="E6" r:id="rId8" xr:uid="{00000000-0004-0000-0000-000008000000}"/>
    <hyperlink ref="F7" r:id="rId9" xr:uid="{00000000-0004-0000-0000-000009000000}"/>
    <hyperlink ref="E7" r:id="rId10" xr:uid="{00000000-0004-0000-0000-00000A000000}"/>
    <hyperlink ref="F8" r:id="rId11" xr:uid="{00000000-0004-0000-0000-00000B000000}"/>
    <hyperlink ref="E8" r:id="rId12" xr:uid="{00000000-0004-0000-0000-00000C000000}"/>
    <hyperlink ref="F9" r:id="rId13" xr:uid="{00000000-0004-0000-0000-00000D000000}"/>
    <hyperlink ref="E9" r:id="rId14" xr:uid="{00000000-0004-0000-0000-00000E000000}"/>
    <hyperlink ref="F10" r:id="rId15" xr:uid="{00000000-0004-0000-0000-00000F000000}"/>
    <hyperlink ref="E10" r:id="rId16" xr:uid="{00000000-0004-0000-0000-000010000000}"/>
    <hyperlink ref="F11" r:id="rId17" xr:uid="{00000000-0004-0000-0000-000011000000}"/>
    <hyperlink ref="E11" r:id="rId18" xr:uid="{00000000-0004-0000-0000-000012000000}"/>
    <hyperlink ref="F12" r:id="rId19" xr:uid="{00000000-0004-0000-0000-000013000000}"/>
    <hyperlink ref="E12" r:id="rId20" xr:uid="{00000000-0004-0000-0000-000014000000}"/>
    <hyperlink ref="F13" r:id="rId21" xr:uid="{00000000-0004-0000-0000-000015000000}"/>
    <hyperlink ref="E13" r:id="rId22" xr:uid="{00000000-0004-0000-0000-000016000000}"/>
    <hyperlink ref="F14" r:id="rId23" xr:uid="{00000000-0004-0000-0000-000017000000}"/>
    <hyperlink ref="E14" r:id="rId24" xr:uid="{00000000-0004-0000-0000-000018000000}"/>
    <hyperlink ref="F15" r:id="rId25" xr:uid="{00000000-0004-0000-0000-000019000000}"/>
    <hyperlink ref="E15" r:id="rId26" xr:uid="{00000000-0004-0000-0000-00001A000000}"/>
    <hyperlink ref="F16" r:id="rId27" xr:uid="{00000000-0004-0000-0000-00001B000000}"/>
    <hyperlink ref="E16" r:id="rId28" xr:uid="{00000000-0004-0000-0000-00001C000000}"/>
    <hyperlink ref="F17" r:id="rId29" xr:uid="{00000000-0004-0000-0000-00001D000000}"/>
    <hyperlink ref="E17" r:id="rId30" xr:uid="{00000000-0004-0000-0000-00001E000000}"/>
    <hyperlink ref="F18" r:id="rId31" xr:uid="{00000000-0004-0000-0000-00001F000000}"/>
    <hyperlink ref="E18" r:id="rId32" xr:uid="{00000000-0004-0000-0000-000020000000}"/>
    <hyperlink ref="F19" r:id="rId33" xr:uid="{00000000-0004-0000-0000-000021000000}"/>
    <hyperlink ref="E19" r:id="rId34" xr:uid="{00000000-0004-0000-0000-000022000000}"/>
    <hyperlink ref="F20" r:id="rId35" xr:uid="{00000000-0004-0000-0000-000023000000}"/>
    <hyperlink ref="E20" r:id="rId36" xr:uid="{00000000-0004-0000-0000-000024000000}"/>
    <hyperlink ref="F21" r:id="rId37" xr:uid="{00000000-0004-0000-0000-000025000000}"/>
    <hyperlink ref="E21" r:id="rId38" xr:uid="{00000000-0004-0000-0000-000026000000}"/>
    <hyperlink ref="F22" r:id="rId39" xr:uid="{00000000-0004-0000-0000-000027000000}"/>
    <hyperlink ref="E22" r:id="rId40" xr:uid="{00000000-0004-0000-0000-000028000000}"/>
    <hyperlink ref="F23" r:id="rId41" xr:uid="{00000000-0004-0000-0000-000029000000}"/>
    <hyperlink ref="E23" r:id="rId42" xr:uid="{00000000-0004-0000-0000-00002A000000}"/>
    <hyperlink ref="F24" r:id="rId43" xr:uid="{00000000-0004-0000-0000-00002B000000}"/>
    <hyperlink ref="E24" r:id="rId44" xr:uid="{00000000-0004-0000-0000-00002C000000}"/>
    <hyperlink ref="F25" r:id="rId45" xr:uid="{00000000-0004-0000-0000-00002D000000}"/>
    <hyperlink ref="E25" r:id="rId46" xr:uid="{00000000-0004-0000-0000-00002E000000}"/>
    <hyperlink ref="F26" r:id="rId47" xr:uid="{00000000-0004-0000-0000-00002F000000}"/>
    <hyperlink ref="E26" r:id="rId48" xr:uid="{00000000-0004-0000-0000-000030000000}"/>
    <hyperlink ref="F27" r:id="rId49" xr:uid="{00000000-0004-0000-0000-000031000000}"/>
    <hyperlink ref="E27" r:id="rId50" xr:uid="{00000000-0004-0000-0000-000032000000}"/>
    <hyperlink ref="F28" r:id="rId51" xr:uid="{00000000-0004-0000-0000-000033000000}"/>
    <hyperlink ref="E28" r:id="rId52" xr:uid="{00000000-0004-0000-0000-000034000000}"/>
    <hyperlink ref="F29" r:id="rId53" xr:uid="{00000000-0004-0000-0000-000035000000}"/>
    <hyperlink ref="E29" r:id="rId54" xr:uid="{00000000-0004-0000-0000-000036000000}"/>
    <hyperlink ref="F30" r:id="rId55" xr:uid="{00000000-0004-0000-0000-000037000000}"/>
    <hyperlink ref="E30" r:id="rId56" xr:uid="{00000000-0004-0000-0000-000038000000}"/>
    <hyperlink ref="F31" r:id="rId57" xr:uid="{00000000-0004-0000-0000-000039000000}"/>
    <hyperlink ref="E31" r:id="rId58" xr:uid="{00000000-0004-0000-0000-00003A000000}"/>
    <hyperlink ref="F32" r:id="rId59" xr:uid="{00000000-0004-0000-0000-00003B000000}"/>
    <hyperlink ref="E32" r:id="rId60" xr:uid="{00000000-0004-0000-0000-00003C000000}"/>
    <hyperlink ref="F33" r:id="rId61" xr:uid="{00000000-0004-0000-0000-00003D000000}"/>
    <hyperlink ref="E33" r:id="rId62" xr:uid="{00000000-0004-0000-0000-00003E000000}"/>
    <hyperlink ref="F34" r:id="rId63" xr:uid="{00000000-0004-0000-0000-00003F000000}"/>
    <hyperlink ref="E34" r:id="rId64" xr:uid="{00000000-0004-0000-0000-000040000000}"/>
    <hyperlink ref="F35" r:id="rId65" xr:uid="{00000000-0004-0000-0000-000041000000}"/>
    <hyperlink ref="E35" r:id="rId66" xr:uid="{00000000-0004-0000-0000-000042000000}"/>
    <hyperlink ref="F36" r:id="rId67" xr:uid="{00000000-0004-0000-0000-000043000000}"/>
    <hyperlink ref="E36" r:id="rId68" xr:uid="{00000000-0004-0000-0000-000044000000}"/>
    <hyperlink ref="F37" r:id="rId69" xr:uid="{00000000-0004-0000-0000-000045000000}"/>
    <hyperlink ref="E37" r:id="rId70" xr:uid="{00000000-0004-0000-0000-000046000000}"/>
    <hyperlink ref="F38" r:id="rId71" xr:uid="{00000000-0004-0000-0000-000047000000}"/>
    <hyperlink ref="E38" r:id="rId72" xr:uid="{00000000-0004-0000-0000-000048000000}"/>
    <hyperlink ref="F39" r:id="rId73" xr:uid="{00000000-0004-0000-0000-000049000000}"/>
    <hyperlink ref="E39" r:id="rId74" xr:uid="{00000000-0004-0000-0000-00004A000000}"/>
    <hyperlink ref="F40" r:id="rId75" xr:uid="{00000000-0004-0000-0000-00004B000000}"/>
    <hyperlink ref="E40" r:id="rId76" xr:uid="{00000000-0004-0000-0000-00004C000000}"/>
    <hyperlink ref="F41" r:id="rId77" xr:uid="{00000000-0004-0000-0000-00004D000000}"/>
    <hyperlink ref="E41" r:id="rId78" xr:uid="{00000000-0004-0000-0000-00004E000000}"/>
    <hyperlink ref="F42" r:id="rId79" xr:uid="{00000000-0004-0000-0000-00004F000000}"/>
    <hyperlink ref="E42" r:id="rId80" xr:uid="{00000000-0004-0000-0000-000050000000}"/>
    <hyperlink ref="F43" r:id="rId81" xr:uid="{00000000-0004-0000-0000-000051000000}"/>
    <hyperlink ref="E43" r:id="rId82" xr:uid="{00000000-0004-0000-0000-000052000000}"/>
    <hyperlink ref="F44" r:id="rId83" xr:uid="{00000000-0004-0000-0000-000053000000}"/>
    <hyperlink ref="E44" r:id="rId84" xr:uid="{00000000-0004-0000-0000-000054000000}"/>
    <hyperlink ref="F45" r:id="rId85" xr:uid="{00000000-0004-0000-0000-000055000000}"/>
    <hyperlink ref="E45" r:id="rId86" xr:uid="{00000000-0004-0000-0000-000056000000}"/>
    <hyperlink ref="F46" r:id="rId87" xr:uid="{00000000-0004-0000-0000-000057000000}"/>
    <hyperlink ref="E46" r:id="rId88" xr:uid="{00000000-0004-0000-0000-000058000000}"/>
    <hyperlink ref="F47" r:id="rId89" xr:uid="{00000000-0004-0000-0000-000059000000}"/>
    <hyperlink ref="E47" r:id="rId90" xr:uid="{00000000-0004-0000-0000-00005A000000}"/>
    <hyperlink ref="F48" r:id="rId91" xr:uid="{00000000-0004-0000-0000-00005B000000}"/>
    <hyperlink ref="E48" r:id="rId92" xr:uid="{00000000-0004-0000-0000-00005C000000}"/>
    <hyperlink ref="F49" r:id="rId93" xr:uid="{00000000-0004-0000-0000-00005D000000}"/>
    <hyperlink ref="E49" r:id="rId94" xr:uid="{00000000-0004-0000-0000-00005E000000}"/>
    <hyperlink ref="F50" r:id="rId95" xr:uid="{00000000-0004-0000-0000-00005F000000}"/>
    <hyperlink ref="E50" r:id="rId96" xr:uid="{00000000-0004-0000-0000-000060000000}"/>
    <hyperlink ref="F51" r:id="rId97" xr:uid="{00000000-0004-0000-0000-000061000000}"/>
    <hyperlink ref="E51" r:id="rId98" xr:uid="{00000000-0004-0000-0000-000062000000}"/>
    <hyperlink ref="F52" r:id="rId99" xr:uid="{00000000-0004-0000-0000-000063000000}"/>
    <hyperlink ref="E52" r:id="rId100" xr:uid="{00000000-0004-0000-0000-000064000000}"/>
    <hyperlink ref="F53" r:id="rId101" xr:uid="{00000000-0004-0000-0000-000065000000}"/>
    <hyperlink ref="E53" r:id="rId102" xr:uid="{00000000-0004-0000-0000-000066000000}"/>
    <hyperlink ref="F54" r:id="rId103" xr:uid="{00000000-0004-0000-0000-000067000000}"/>
    <hyperlink ref="E54" r:id="rId104" xr:uid="{00000000-0004-0000-0000-000068000000}"/>
    <hyperlink ref="F55" r:id="rId105" xr:uid="{00000000-0004-0000-0000-000069000000}"/>
    <hyperlink ref="E55" r:id="rId106" xr:uid="{00000000-0004-0000-0000-00006A000000}"/>
    <hyperlink ref="F56" r:id="rId107" xr:uid="{00000000-0004-0000-0000-00006B000000}"/>
    <hyperlink ref="E56" r:id="rId108" xr:uid="{00000000-0004-0000-0000-00006C000000}"/>
    <hyperlink ref="F57" r:id="rId109" xr:uid="{00000000-0004-0000-0000-00006D000000}"/>
    <hyperlink ref="E57" r:id="rId110" xr:uid="{00000000-0004-0000-0000-00006E000000}"/>
    <hyperlink ref="F58" r:id="rId111" xr:uid="{00000000-0004-0000-0000-00006F000000}"/>
    <hyperlink ref="E58" r:id="rId112" xr:uid="{00000000-0004-0000-0000-000070000000}"/>
    <hyperlink ref="F59" r:id="rId113" xr:uid="{00000000-0004-0000-0000-000071000000}"/>
    <hyperlink ref="E59" r:id="rId114" xr:uid="{00000000-0004-0000-0000-000072000000}"/>
    <hyperlink ref="F60" r:id="rId115" xr:uid="{00000000-0004-0000-0000-000073000000}"/>
    <hyperlink ref="E60" r:id="rId116" xr:uid="{00000000-0004-0000-0000-000074000000}"/>
    <hyperlink ref="F61" r:id="rId117" xr:uid="{00000000-0004-0000-0000-000075000000}"/>
    <hyperlink ref="E61" r:id="rId118" xr:uid="{00000000-0004-0000-0000-000076000000}"/>
    <hyperlink ref="F62" r:id="rId119" xr:uid="{00000000-0004-0000-0000-000077000000}"/>
    <hyperlink ref="E62" r:id="rId120" xr:uid="{00000000-0004-0000-0000-000078000000}"/>
    <hyperlink ref="F63" r:id="rId121" xr:uid="{00000000-0004-0000-0000-000079000000}"/>
    <hyperlink ref="E63" r:id="rId122" xr:uid="{00000000-0004-0000-0000-00007A000000}"/>
    <hyperlink ref="F64" r:id="rId123" xr:uid="{00000000-0004-0000-0000-00007B000000}"/>
    <hyperlink ref="E64" r:id="rId124" xr:uid="{00000000-0004-0000-0000-00007C000000}"/>
    <hyperlink ref="F65" r:id="rId125" xr:uid="{00000000-0004-0000-0000-00007D000000}"/>
    <hyperlink ref="E65" r:id="rId126" xr:uid="{00000000-0004-0000-0000-00007E000000}"/>
    <hyperlink ref="F66" r:id="rId127" xr:uid="{00000000-0004-0000-0000-00007F000000}"/>
    <hyperlink ref="E66" r:id="rId128" xr:uid="{00000000-0004-0000-0000-000080000000}"/>
    <hyperlink ref="F67" r:id="rId129" xr:uid="{00000000-0004-0000-0000-000081000000}"/>
    <hyperlink ref="E67" r:id="rId130" xr:uid="{00000000-0004-0000-0000-000082000000}"/>
    <hyperlink ref="F68" r:id="rId131" xr:uid="{00000000-0004-0000-0000-000083000000}"/>
    <hyperlink ref="E68" r:id="rId132" xr:uid="{00000000-0004-0000-0000-000084000000}"/>
    <hyperlink ref="F69" r:id="rId133" xr:uid="{00000000-0004-0000-0000-000085000000}"/>
    <hyperlink ref="E69" r:id="rId134" xr:uid="{00000000-0004-0000-0000-000086000000}"/>
    <hyperlink ref="F70" r:id="rId135" xr:uid="{00000000-0004-0000-0000-000087000000}"/>
    <hyperlink ref="E70" r:id="rId136" xr:uid="{00000000-0004-0000-0000-000088000000}"/>
    <hyperlink ref="F71" r:id="rId137" xr:uid="{00000000-0004-0000-0000-000089000000}"/>
    <hyperlink ref="E71" r:id="rId138" xr:uid="{00000000-0004-0000-0000-00008A000000}"/>
    <hyperlink ref="F72" r:id="rId139" xr:uid="{00000000-0004-0000-0000-00008B000000}"/>
    <hyperlink ref="E72" r:id="rId140" xr:uid="{00000000-0004-0000-0000-00008C000000}"/>
    <hyperlink ref="F73" r:id="rId141" xr:uid="{00000000-0004-0000-0000-00008D000000}"/>
    <hyperlink ref="E73" r:id="rId142" xr:uid="{00000000-0004-0000-0000-00008E000000}"/>
    <hyperlink ref="F74" r:id="rId143" xr:uid="{00000000-0004-0000-0000-00008F000000}"/>
    <hyperlink ref="E74" r:id="rId144" xr:uid="{00000000-0004-0000-0000-000090000000}"/>
    <hyperlink ref="F75" r:id="rId145" xr:uid="{00000000-0004-0000-0000-000091000000}"/>
    <hyperlink ref="E75" r:id="rId146" xr:uid="{00000000-0004-0000-0000-000092000000}"/>
    <hyperlink ref="F76" r:id="rId147" xr:uid="{00000000-0004-0000-0000-000093000000}"/>
    <hyperlink ref="E76" r:id="rId148" xr:uid="{00000000-0004-0000-0000-000094000000}"/>
    <hyperlink ref="F77" r:id="rId149" xr:uid="{00000000-0004-0000-0000-000095000000}"/>
    <hyperlink ref="E77" r:id="rId150" xr:uid="{00000000-0004-0000-0000-000096000000}"/>
    <hyperlink ref="F78" r:id="rId151" xr:uid="{00000000-0004-0000-0000-000097000000}"/>
    <hyperlink ref="E78" r:id="rId152" xr:uid="{00000000-0004-0000-0000-00009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093C-814B-4F23-9C79-D797EBDC5FE4}">
  <dimension ref="B2:S90"/>
  <sheetViews>
    <sheetView topLeftCell="D34" workbookViewId="0">
      <selection activeCell="N54" sqref="N54:N55"/>
    </sheetView>
  </sheetViews>
  <sheetFormatPr defaultRowHeight="13.2" x14ac:dyDescent="0.25"/>
  <cols>
    <col min="2" max="2" width="13.77734375" customWidth="1"/>
    <col min="3" max="3" width="15.5546875" customWidth="1"/>
    <col min="4" max="4" width="17" customWidth="1"/>
    <col min="5" max="5" width="11.77734375" bestFit="1" customWidth="1"/>
    <col min="6" max="6" width="12.77734375" bestFit="1" customWidth="1"/>
    <col min="7" max="7" width="12.21875" customWidth="1"/>
    <col min="8" max="8" width="23.5546875" customWidth="1"/>
    <col min="9" max="9" width="12.77734375" bestFit="1" customWidth="1"/>
    <col min="10" max="11" width="11.77734375" bestFit="1" customWidth="1"/>
    <col min="13" max="14" width="12.77734375" bestFit="1" customWidth="1"/>
    <col min="15" max="16" width="12.77734375" customWidth="1"/>
    <col min="17" max="17" width="12.77734375" bestFit="1" customWidth="1"/>
    <col min="18" max="18" width="9.21875" bestFit="1" customWidth="1"/>
    <col min="19" max="19" width="26.88671875" bestFit="1" customWidth="1"/>
  </cols>
  <sheetData>
    <row r="2" spans="2:19" ht="14.4" x14ac:dyDescent="0.3">
      <c r="B2" s="21" t="s">
        <v>1</v>
      </c>
      <c r="C2" s="22" t="s">
        <v>2</v>
      </c>
      <c r="D2" s="22" t="s">
        <v>4</v>
      </c>
    </row>
    <row r="4" spans="2:19" x14ac:dyDescent="0.25">
      <c r="F4" s="30"/>
      <c r="G4" s="30"/>
      <c r="J4" s="30"/>
      <c r="M4" t="s">
        <v>317</v>
      </c>
      <c r="N4" t="s">
        <v>319</v>
      </c>
    </row>
    <row r="5" spans="2:19" x14ac:dyDescent="0.25">
      <c r="D5" t="s">
        <v>318</v>
      </c>
      <c r="F5" s="30">
        <v>3000000</v>
      </c>
      <c r="G5" s="30"/>
      <c r="H5" s="30" t="s">
        <v>323</v>
      </c>
      <c r="I5" s="30">
        <v>2400000</v>
      </c>
      <c r="J5" s="30">
        <v>3000000</v>
      </c>
      <c r="M5" s="28">
        <v>22936</v>
      </c>
      <c r="N5">
        <v>10000</v>
      </c>
    </row>
    <row r="6" spans="2:19" x14ac:dyDescent="0.25">
      <c r="F6" t="s">
        <v>322</v>
      </c>
      <c r="I6" t="s">
        <v>322</v>
      </c>
      <c r="J6" t="s">
        <v>319</v>
      </c>
      <c r="M6" t="s">
        <v>316</v>
      </c>
      <c r="N6" t="s">
        <v>320</v>
      </c>
      <c r="O6" t="s">
        <v>318</v>
      </c>
    </row>
    <row r="7" spans="2:19" x14ac:dyDescent="0.25">
      <c r="D7" s="34">
        <f t="shared" ref="D7:D25" si="0">(H7-F7)/F7</f>
        <v>-0.19249454545454556</v>
      </c>
      <c r="F7" s="33">
        <f>F5*1.1</f>
        <v>3300000.0000000005</v>
      </c>
      <c r="G7" s="33"/>
      <c r="H7" s="32">
        <f>I7+K7+O7</f>
        <v>2664768</v>
      </c>
      <c r="I7" s="33">
        <f>I5*1.1</f>
        <v>2640000</v>
      </c>
      <c r="J7" s="33">
        <f>J5*1.06</f>
        <v>3180000</v>
      </c>
      <c r="K7" s="32">
        <f t="shared" ref="K7:K47" si="1">J7-3000000</f>
        <v>180000</v>
      </c>
      <c r="L7">
        <v>1</v>
      </c>
      <c r="M7" s="30">
        <f>M5*12</f>
        <v>275232</v>
      </c>
      <c r="N7" s="30">
        <f t="shared" ref="N7:Q7" si="2">N5*12</f>
        <v>120000</v>
      </c>
      <c r="O7" s="30">
        <f>N7-M7</f>
        <v>-155232</v>
      </c>
      <c r="P7" s="30"/>
      <c r="R7" s="30"/>
      <c r="S7" s="32"/>
    </row>
    <row r="8" spans="2:19" x14ac:dyDescent="0.25">
      <c r="D8" s="34">
        <f t="shared" si="0"/>
        <v>-0.13863140495867779</v>
      </c>
      <c r="F8" s="33">
        <f t="shared" ref="F8:F20" si="3">F7*1.1</f>
        <v>3630000.0000000009</v>
      </c>
      <c r="G8" s="33"/>
      <c r="H8" s="32">
        <f t="shared" ref="H8:H46" si="4">I8+K8+O8</f>
        <v>3126768.0000000005</v>
      </c>
      <c r="I8" s="33">
        <f t="shared" ref="I8:I20" si="5">I7*1.1</f>
        <v>2904000.0000000005</v>
      </c>
      <c r="J8" s="32">
        <f>J7*1.06</f>
        <v>3370800</v>
      </c>
      <c r="K8" s="32">
        <f t="shared" si="1"/>
        <v>370800</v>
      </c>
      <c r="L8">
        <v>2</v>
      </c>
      <c r="M8" s="30">
        <v>275232</v>
      </c>
      <c r="N8" s="30">
        <f>N7*1.06</f>
        <v>127200</v>
      </c>
      <c r="O8" s="30">
        <f t="shared" ref="O8:O21" si="6">N8-M8</f>
        <v>-148032</v>
      </c>
      <c r="P8" s="30"/>
      <c r="R8" s="30"/>
      <c r="S8" s="32"/>
    </row>
    <row r="9" spans="2:19" x14ac:dyDescent="0.25">
      <c r="D9" s="34">
        <f t="shared" si="0"/>
        <v>-9.1648384673178152E-2</v>
      </c>
      <c r="F9" s="33">
        <f t="shared" si="3"/>
        <v>3993000.0000000014</v>
      </c>
      <c r="G9" s="33"/>
      <c r="H9" s="32">
        <f t="shared" si="4"/>
        <v>3627048.0000000009</v>
      </c>
      <c r="I9" s="33">
        <f t="shared" si="5"/>
        <v>3194400.0000000009</v>
      </c>
      <c r="J9" s="32">
        <f t="shared" ref="J9:J26" si="7">J8*1.06</f>
        <v>3573048</v>
      </c>
      <c r="K9" s="32">
        <f t="shared" si="1"/>
        <v>573048</v>
      </c>
      <c r="L9">
        <v>3</v>
      </c>
      <c r="M9" s="30">
        <v>275232</v>
      </c>
      <c r="N9" s="30">
        <f t="shared" ref="N9:N21" si="8">N8*1.06</f>
        <v>134832</v>
      </c>
      <c r="O9" s="30">
        <f t="shared" si="6"/>
        <v>-140400</v>
      </c>
      <c r="P9" s="30"/>
      <c r="R9" s="30"/>
      <c r="S9" s="32"/>
    </row>
    <row r="10" spans="2:19" x14ac:dyDescent="0.25">
      <c r="D10" s="34">
        <f t="shared" si="0"/>
        <v>-5.0847892903490219E-2</v>
      </c>
      <c r="F10" s="33">
        <f t="shared" si="3"/>
        <v>4392300.0000000019</v>
      </c>
      <c r="G10" s="33"/>
      <c r="H10" s="32">
        <f t="shared" si="4"/>
        <v>4168960.8000000017</v>
      </c>
      <c r="I10" s="33">
        <f t="shared" si="5"/>
        <v>3513840.0000000014</v>
      </c>
      <c r="J10" s="32">
        <f t="shared" si="7"/>
        <v>3787430.8800000004</v>
      </c>
      <c r="K10" s="32">
        <f t="shared" si="1"/>
        <v>787430.88000000035</v>
      </c>
      <c r="L10">
        <v>4</v>
      </c>
      <c r="M10" s="30">
        <v>275232</v>
      </c>
      <c r="N10" s="30">
        <f t="shared" si="8"/>
        <v>142921.92000000001</v>
      </c>
      <c r="O10" s="30">
        <f t="shared" si="6"/>
        <v>-132310.07999999999</v>
      </c>
      <c r="P10" s="30"/>
      <c r="R10" s="30"/>
      <c r="S10" s="32"/>
    </row>
    <row r="11" spans="2:19" x14ac:dyDescent="0.25">
      <c r="D11" s="34">
        <f t="shared" si="0"/>
        <v>-1.5598378153504282E-2</v>
      </c>
      <c r="F11" s="33">
        <f t="shared" si="3"/>
        <v>4831530.0000000028</v>
      </c>
      <c r="G11" s="33"/>
      <c r="H11" s="32">
        <f t="shared" si="4"/>
        <v>4756165.9680000022</v>
      </c>
      <c r="I11" s="33">
        <f t="shared" si="5"/>
        <v>3865224.0000000019</v>
      </c>
      <c r="J11" s="32">
        <f t="shared" si="7"/>
        <v>4014676.7328000003</v>
      </c>
      <c r="K11" s="32">
        <f t="shared" si="1"/>
        <v>1014676.7328000003</v>
      </c>
      <c r="L11">
        <v>5</v>
      </c>
      <c r="M11" s="30">
        <v>275232</v>
      </c>
      <c r="N11" s="30">
        <f t="shared" si="8"/>
        <v>151497.23520000002</v>
      </c>
      <c r="O11" s="30">
        <f t="shared" si="6"/>
        <v>-123734.76479999998</v>
      </c>
      <c r="P11" s="30"/>
      <c r="R11" s="30"/>
      <c r="S11" s="32"/>
    </row>
    <row r="12" spans="2:19" x14ac:dyDescent="0.25">
      <c r="D12" s="34">
        <f t="shared" si="0"/>
        <v>1.4671769902362674E-2</v>
      </c>
      <c r="F12" s="33">
        <f t="shared" si="3"/>
        <v>5314683.0000000037</v>
      </c>
      <c r="G12" s="33"/>
      <c r="H12" s="32">
        <f t="shared" si="4"/>
        <v>5392658.8060800023</v>
      </c>
      <c r="I12" s="33">
        <f t="shared" si="5"/>
        <v>4251746.4000000022</v>
      </c>
      <c r="J12" s="32">
        <f t="shared" si="7"/>
        <v>4255557.3367680004</v>
      </c>
      <c r="K12" s="32">
        <f t="shared" si="1"/>
        <v>1255557.3367680004</v>
      </c>
      <c r="L12">
        <v>6</v>
      </c>
      <c r="M12" s="30">
        <v>275232</v>
      </c>
      <c r="N12" s="30">
        <f t="shared" si="8"/>
        <v>160587.06931200004</v>
      </c>
      <c r="O12" s="30">
        <f t="shared" si="6"/>
        <v>-114644.93068799996</v>
      </c>
      <c r="P12" s="30"/>
      <c r="R12" s="30"/>
      <c r="S12" s="32"/>
    </row>
    <row r="13" spans="2:19" x14ac:dyDescent="0.25">
      <c r="D13" s="34">
        <f t="shared" si="0"/>
        <v>4.0479761521874928E-2</v>
      </c>
      <c r="F13" s="33">
        <f t="shared" si="3"/>
        <v>5846151.3000000045</v>
      </c>
      <c r="G13" s="33"/>
      <c r="H13" s="32">
        <f t="shared" si="4"/>
        <v>6082802.1104448037</v>
      </c>
      <c r="I13" s="33">
        <f t="shared" si="5"/>
        <v>4676921.0400000028</v>
      </c>
      <c r="J13" s="32">
        <f t="shared" si="7"/>
        <v>4510890.7769740811</v>
      </c>
      <c r="K13" s="32">
        <f t="shared" si="1"/>
        <v>1510890.7769740811</v>
      </c>
      <c r="L13">
        <v>7</v>
      </c>
      <c r="M13" s="30">
        <v>275232</v>
      </c>
      <c r="N13" s="30">
        <f t="shared" si="8"/>
        <v>170222.29347072003</v>
      </c>
      <c r="O13" s="30">
        <f t="shared" si="6"/>
        <v>-105009.70652927997</v>
      </c>
      <c r="P13" s="30"/>
      <c r="R13" s="30"/>
      <c r="S13" s="32"/>
    </row>
    <row r="14" spans="2:19" x14ac:dyDescent="0.25">
      <c r="D14" s="34">
        <f t="shared" si="0"/>
        <v>6.2293440919061173E-2</v>
      </c>
      <c r="F14" s="33">
        <f t="shared" si="3"/>
        <v>6430766.4300000053</v>
      </c>
      <c r="G14" s="33"/>
      <c r="H14" s="32">
        <f t="shared" si="4"/>
        <v>6831360.9986714926</v>
      </c>
      <c r="I14" s="33">
        <f t="shared" si="5"/>
        <v>5144613.1440000031</v>
      </c>
      <c r="J14" s="32">
        <f t="shared" si="7"/>
        <v>4781544.2235925263</v>
      </c>
      <c r="K14" s="32">
        <f t="shared" si="1"/>
        <v>1781544.2235925263</v>
      </c>
      <c r="L14">
        <v>8</v>
      </c>
      <c r="M14" s="30">
        <v>275232</v>
      </c>
      <c r="N14" s="30">
        <f t="shared" si="8"/>
        <v>180435.63107896326</v>
      </c>
      <c r="O14" s="30">
        <f t="shared" si="6"/>
        <v>-94796.368921036745</v>
      </c>
      <c r="P14" s="30"/>
      <c r="R14" s="30"/>
      <c r="S14" s="32"/>
    </row>
    <row r="15" spans="2:19" x14ac:dyDescent="0.25">
      <c r="D15" s="34">
        <f t="shared" si="0"/>
        <v>8.0535859429260392E-2</v>
      </c>
      <c r="F15" s="33">
        <f t="shared" si="3"/>
        <v>7073843.0730000064</v>
      </c>
      <c r="G15" s="33"/>
      <c r="H15" s="32">
        <f t="shared" si="4"/>
        <v>7643541.1043517822</v>
      </c>
      <c r="I15" s="33">
        <f t="shared" si="5"/>
        <v>5659074.4584000036</v>
      </c>
      <c r="J15" s="32">
        <f t="shared" si="7"/>
        <v>5068436.8770080777</v>
      </c>
      <c r="K15" s="32">
        <f t="shared" si="1"/>
        <v>2068436.8770080777</v>
      </c>
      <c r="L15">
        <v>9</v>
      </c>
      <c r="M15" s="30">
        <v>275232</v>
      </c>
      <c r="N15" s="30">
        <f t="shared" si="8"/>
        <v>191261.76894370106</v>
      </c>
      <c r="O15" s="30">
        <f t="shared" si="6"/>
        <v>-83970.231056298944</v>
      </c>
      <c r="P15" s="30"/>
      <c r="R15" s="30"/>
      <c r="S15" s="32"/>
    </row>
    <row r="16" spans="2:19" x14ac:dyDescent="0.25">
      <c r="D16" s="34">
        <f t="shared" si="0"/>
        <v>9.5589429828511735E-2</v>
      </c>
      <c r="F16" s="33">
        <f t="shared" si="3"/>
        <v>7781227.3803000078</v>
      </c>
      <c r="G16" s="33"/>
      <c r="H16" s="32">
        <f t="shared" si="4"/>
        <v>8525030.4689488895</v>
      </c>
      <c r="I16" s="33">
        <f t="shared" si="5"/>
        <v>6224981.9042400047</v>
      </c>
      <c r="J16" s="32">
        <f t="shared" si="7"/>
        <v>5372543.0896285623</v>
      </c>
      <c r="K16" s="32">
        <f t="shared" si="1"/>
        <v>2372543.0896285623</v>
      </c>
      <c r="L16">
        <v>10</v>
      </c>
      <c r="M16" s="30">
        <v>275232</v>
      </c>
      <c r="N16" s="30">
        <f t="shared" si="8"/>
        <v>202737.47508032314</v>
      </c>
      <c r="O16" s="30">
        <f t="shared" si="6"/>
        <v>-72494.524919676856</v>
      </c>
      <c r="P16" s="30"/>
      <c r="R16" s="30"/>
      <c r="S16" s="32"/>
    </row>
    <row r="17" spans="3:19" x14ac:dyDescent="0.25">
      <c r="D17" s="34">
        <f t="shared" si="0"/>
        <v>0.10779969999701783</v>
      </c>
      <c r="F17" s="33">
        <f t="shared" si="3"/>
        <v>8559350.1183300093</v>
      </c>
      <c r="G17" s="33"/>
      <c r="H17" s="32">
        <f t="shared" si="4"/>
        <v>9482045.4932554234</v>
      </c>
      <c r="I17" s="33">
        <f t="shared" si="5"/>
        <v>6847480.0946640056</v>
      </c>
      <c r="J17" s="32">
        <f t="shared" si="7"/>
        <v>5694895.675006276</v>
      </c>
      <c r="K17" s="32">
        <f t="shared" si="1"/>
        <v>2694895.675006276</v>
      </c>
      <c r="L17">
        <v>11</v>
      </c>
      <c r="M17" s="30">
        <v>275232</v>
      </c>
      <c r="N17" s="30">
        <f t="shared" si="8"/>
        <v>214901.72358514255</v>
      </c>
      <c r="O17" s="30">
        <f t="shared" si="6"/>
        <v>-60330.27641485745</v>
      </c>
      <c r="P17" s="30"/>
      <c r="R17" s="30"/>
      <c r="S17" s="32"/>
    </row>
    <row r="18" spans="3:19" x14ac:dyDescent="0.25">
      <c r="D18" s="34">
        <f t="shared" si="0"/>
        <v>0.11747878064051258</v>
      </c>
      <c r="F18" s="33">
        <f t="shared" si="3"/>
        <v>9415285.1301630102</v>
      </c>
      <c r="G18" s="33"/>
      <c r="H18" s="32">
        <f t="shared" si="4"/>
        <v>10521381.34663731</v>
      </c>
      <c r="I18" s="33">
        <f t="shared" si="5"/>
        <v>7532228.1041304069</v>
      </c>
      <c r="J18" s="32">
        <f t="shared" si="7"/>
        <v>6036589.4155066526</v>
      </c>
      <c r="K18" s="32">
        <f t="shared" si="1"/>
        <v>3036589.4155066526</v>
      </c>
      <c r="L18">
        <v>12</v>
      </c>
      <c r="M18" s="30">
        <v>275232</v>
      </c>
      <c r="N18" s="30">
        <f t="shared" si="8"/>
        <v>227795.82700025113</v>
      </c>
      <c r="O18" s="30">
        <f t="shared" si="6"/>
        <v>-47436.172999748873</v>
      </c>
      <c r="P18" s="30"/>
      <c r="R18" s="30"/>
      <c r="S18" s="32"/>
    </row>
    <row r="19" spans="3:19" x14ac:dyDescent="0.25">
      <c r="D19" s="34">
        <f t="shared" si="0"/>
        <v>0.12490845862360528</v>
      </c>
      <c r="F19" s="33">
        <f t="shared" si="3"/>
        <v>10356813.643179312</v>
      </c>
      <c r="G19" s="33"/>
      <c r="H19" s="32">
        <f t="shared" si="4"/>
        <v>11650467.271600766</v>
      </c>
      <c r="I19" s="33">
        <f t="shared" si="5"/>
        <v>8285450.914543448</v>
      </c>
      <c r="J19" s="32">
        <f t="shared" si="7"/>
        <v>6398784.7804370522</v>
      </c>
      <c r="K19" s="32">
        <f t="shared" si="1"/>
        <v>3398784.7804370522</v>
      </c>
      <c r="L19">
        <v>13</v>
      </c>
      <c r="M19" s="30">
        <v>275232</v>
      </c>
      <c r="N19" s="30">
        <f t="shared" si="8"/>
        <v>241463.57662026622</v>
      </c>
      <c r="O19" s="30">
        <f t="shared" si="6"/>
        <v>-33768.42337973378</v>
      </c>
      <c r="P19" s="30"/>
      <c r="R19" s="30"/>
      <c r="S19" s="32"/>
    </row>
    <row r="20" spans="3:19" x14ac:dyDescent="0.25">
      <c r="D20" s="34">
        <f t="shared" si="0"/>
        <v>0.13034302459681521</v>
      </c>
      <c r="F20" s="33">
        <f t="shared" si="3"/>
        <v>11392495.007497244</v>
      </c>
      <c r="G20" s="33"/>
      <c r="H20" s="32">
        <f t="shared" si="4"/>
        <v>12877427.264478551</v>
      </c>
      <c r="I20" s="33">
        <f t="shared" si="5"/>
        <v>9113996.0059977937</v>
      </c>
      <c r="J20" s="32">
        <f t="shared" si="7"/>
        <v>6782711.8672632761</v>
      </c>
      <c r="K20" s="32">
        <f t="shared" si="1"/>
        <v>3782711.8672632761</v>
      </c>
      <c r="L20">
        <v>14</v>
      </c>
      <c r="M20" s="30">
        <v>275232</v>
      </c>
      <c r="N20" s="30">
        <f t="shared" si="8"/>
        <v>255951.39121748222</v>
      </c>
      <c r="O20" s="30">
        <f t="shared" si="6"/>
        <v>-19280.608782517782</v>
      </c>
      <c r="P20" s="30"/>
      <c r="R20" s="30"/>
      <c r="S20" s="32"/>
    </row>
    <row r="21" spans="3:19" x14ac:dyDescent="0.25">
      <c r="D21" s="34">
        <f t="shared" si="0"/>
        <v>0.13401184098790203</v>
      </c>
      <c r="F21" s="33">
        <f t="shared" ref="F21:F25" si="9">F20*1.1</f>
        <v>12531744.508246969</v>
      </c>
      <c r="G21" s="33"/>
      <c r="H21" s="32">
        <f t="shared" si="4"/>
        <v>14211146.660587177</v>
      </c>
      <c r="I21" s="33">
        <f t="shared" ref="I21:I25" si="10">I20*1.1</f>
        <v>10025395.606597574</v>
      </c>
      <c r="J21" s="32">
        <f t="shared" si="7"/>
        <v>7189674.5792990727</v>
      </c>
      <c r="K21" s="32">
        <f t="shared" si="1"/>
        <v>4189674.5792990727</v>
      </c>
      <c r="L21">
        <v>15</v>
      </c>
      <c r="M21" s="30">
        <v>275232</v>
      </c>
      <c r="N21" s="30">
        <f t="shared" si="8"/>
        <v>271308.47469053115</v>
      </c>
      <c r="O21" s="30">
        <f t="shared" si="6"/>
        <v>-3923.5253094688524</v>
      </c>
      <c r="P21" s="30"/>
      <c r="R21" s="30"/>
      <c r="S21" s="32"/>
    </row>
    <row r="22" spans="3:19" x14ac:dyDescent="0.25">
      <c r="D22" s="34">
        <f t="shared" si="0"/>
        <v>0.15608784148844554</v>
      </c>
      <c r="F22" s="33">
        <f t="shared" si="9"/>
        <v>13784918.959071668</v>
      </c>
      <c r="G22" s="33"/>
      <c r="H22" s="32">
        <f t="shared" si="4"/>
        <v>15936577.204486314</v>
      </c>
      <c r="I22" s="33">
        <f t="shared" si="10"/>
        <v>11027935.167257333</v>
      </c>
      <c r="J22" s="32">
        <f t="shared" si="7"/>
        <v>7621055.0540570179</v>
      </c>
      <c r="K22" s="32">
        <f t="shared" si="1"/>
        <v>4621055.0540570179</v>
      </c>
      <c r="L22">
        <v>16</v>
      </c>
      <c r="M22" s="30">
        <v>0</v>
      </c>
      <c r="N22" s="30">
        <f t="shared" ref="N22:N26" si="11">N21*1.06</f>
        <v>287586.98317196302</v>
      </c>
      <c r="O22" s="30">
        <f t="shared" ref="O22:O26" si="12">N22-M22</f>
        <v>287586.98317196302</v>
      </c>
      <c r="P22" s="30"/>
      <c r="R22" s="30"/>
      <c r="S22" s="32"/>
    </row>
    <row r="23" spans="3:19" x14ac:dyDescent="0.25">
      <c r="D23" s="34">
        <f t="shared" si="0"/>
        <v>0.15500987284105566</v>
      </c>
      <c r="F23" s="33">
        <f t="shared" si="9"/>
        <v>15163410.854978835</v>
      </c>
      <c r="G23" s="33"/>
      <c r="H23" s="32">
        <f t="shared" si="4"/>
        <v>17513889.243445788</v>
      </c>
      <c r="I23" s="33">
        <f t="shared" si="10"/>
        <v>12130728.683983067</v>
      </c>
      <c r="J23" s="32">
        <f t="shared" si="7"/>
        <v>8078318.3573004389</v>
      </c>
      <c r="K23" s="32">
        <f t="shared" si="1"/>
        <v>5078318.3573004389</v>
      </c>
      <c r="L23">
        <v>17</v>
      </c>
      <c r="M23" s="30">
        <v>0</v>
      </c>
      <c r="N23" s="30">
        <f t="shared" si="11"/>
        <v>304842.2021622808</v>
      </c>
      <c r="O23" s="30">
        <f t="shared" si="12"/>
        <v>304842.2021622808</v>
      </c>
      <c r="P23" s="30"/>
      <c r="R23" s="30"/>
      <c r="S23" s="32"/>
    </row>
    <row r="24" spans="3:19" x14ac:dyDescent="0.25">
      <c r="D24" s="34">
        <f t="shared" si="0"/>
        <v>0.15289195031411554</v>
      </c>
      <c r="F24" s="33">
        <f t="shared" si="9"/>
        <v>16679751.940476719</v>
      </c>
      <c r="G24" s="33"/>
      <c r="H24" s="32">
        <f t="shared" si="4"/>
        <v>19229951.745411858</v>
      </c>
      <c r="I24" s="33">
        <f t="shared" si="10"/>
        <v>13343801.552381374</v>
      </c>
      <c r="J24" s="32">
        <f t="shared" si="7"/>
        <v>8563017.4587384649</v>
      </c>
      <c r="K24" s="32">
        <f t="shared" si="1"/>
        <v>5563017.4587384649</v>
      </c>
      <c r="L24">
        <v>18</v>
      </c>
      <c r="M24" s="30">
        <v>0</v>
      </c>
      <c r="N24" s="30">
        <f t="shared" si="11"/>
        <v>323132.73429201765</v>
      </c>
      <c r="O24" s="30">
        <f t="shared" si="12"/>
        <v>323132.73429201765</v>
      </c>
      <c r="P24" s="30"/>
      <c r="R24" s="30"/>
      <c r="S24" s="32"/>
    </row>
    <row r="25" spans="3:19" x14ac:dyDescent="0.25">
      <c r="D25" s="34">
        <f t="shared" si="0"/>
        <v>0.14986999520683195</v>
      </c>
      <c r="F25" s="33">
        <f t="shared" si="9"/>
        <v>18347727.134524394</v>
      </c>
      <c r="G25" s="33"/>
      <c r="H25" s="32">
        <f t="shared" si="4"/>
        <v>21097500.912231825</v>
      </c>
      <c r="I25" s="33">
        <f t="shared" si="10"/>
        <v>14678181.707619512</v>
      </c>
      <c r="J25" s="32">
        <f t="shared" si="7"/>
        <v>9076798.5062627736</v>
      </c>
      <c r="K25" s="32">
        <f t="shared" si="1"/>
        <v>6076798.5062627736</v>
      </c>
      <c r="L25">
        <v>19</v>
      </c>
      <c r="M25" s="30">
        <v>0</v>
      </c>
      <c r="N25" s="30">
        <f t="shared" si="11"/>
        <v>342520.69834953872</v>
      </c>
      <c r="O25" s="30">
        <f t="shared" si="12"/>
        <v>342520.69834953872</v>
      </c>
      <c r="P25" s="30"/>
      <c r="R25" s="30"/>
      <c r="S25" s="32"/>
    </row>
    <row r="26" spans="3:19" x14ac:dyDescent="0.25">
      <c r="C26" s="31">
        <f>E26/(1.06)^L26</f>
        <v>919193.59591618669</v>
      </c>
      <c r="D26" s="34">
        <f t="shared" ref="D26:D31" si="13">(H26-F26)/F26</f>
        <v>0.14606606760803229</v>
      </c>
      <c r="E26" s="32">
        <f>H26-F26</f>
        <v>2947978.3872936852</v>
      </c>
      <c r="F26" s="33">
        <f t="shared" ref="F26" si="14">F25*1.1</f>
        <v>20182499.847976834</v>
      </c>
      <c r="G26" s="33"/>
      <c r="H26" s="32">
        <f t="shared" si="4"/>
        <v>23130478.235270519</v>
      </c>
      <c r="I26" s="33">
        <f t="shared" ref="I26" si="15">I25*1.1</f>
        <v>16145999.878381465</v>
      </c>
      <c r="J26" s="32">
        <f t="shared" si="7"/>
        <v>9621406.4166385401</v>
      </c>
      <c r="K26" s="32">
        <f t="shared" si="1"/>
        <v>6621406.4166385401</v>
      </c>
      <c r="L26">
        <v>20</v>
      </c>
      <c r="M26" s="30">
        <v>0</v>
      </c>
      <c r="N26" s="30">
        <f t="shared" si="11"/>
        <v>363071.94025051105</v>
      </c>
      <c r="O26" s="30">
        <f t="shared" si="12"/>
        <v>363071.94025051105</v>
      </c>
      <c r="P26" s="30"/>
      <c r="R26" s="30"/>
      <c r="S26" s="32"/>
    </row>
    <row r="27" spans="3:19" x14ac:dyDescent="0.25">
      <c r="C27" s="31">
        <f t="shared" ref="C27:C31" si="16">E27/(1.06)^L27</f>
        <v>924647.2374404124</v>
      </c>
      <c r="D27" s="34">
        <f t="shared" si="13"/>
        <v>0.14158968122360241</v>
      </c>
      <c r="E27" s="32">
        <f t="shared" ref="E27:E31" si="17">H27-F27</f>
        <v>3143397.0917474888</v>
      </c>
      <c r="F27" s="33">
        <f t="shared" ref="F27:F31" si="18">F26*1.1</f>
        <v>22200749.83277452</v>
      </c>
      <c r="G27" s="33"/>
      <c r="H27" s="32">
        <f t="shared" si="4"/>
        <v>25344146.924522009</v>
      </c>
      <c r="I27" s="33">
        <f t="shared" ref="I27:I31" si="19">I26*1.1</f>
        <v>17760599.866219614</v>
      </c>
      <c r="J27" s="32">
        <f t="shared" ref="J27:J31" si="20">J26*1.06</f>
        <v>10198690.801636852</v>
      </c>
      <c r="K27" s="32">
        <f t="shared" si="1"/>
        <v>7198690.8016368523</v>
      </c>
      <c r="L27">
        <v>21</v>
      </c>
      <c r="M27" s="30">
        <v>0</v>
      </c>
      <c r="N27" s="30">
        <f t="shared" ref="N27:N31" si="21">N26*1.06</f>
        <v>384856.25666554173</v>
      </c>
      <c r="O27" s="30">
        <f t="shared" ref="O27:O31" si="22">N27-M27</f>
        <v>384856.25666554173</v>
      </c>
    </row>
    <row r="28" spans="3:19" x14ac:dyDescent="0.25">
      <c r="C28" s="31">
        <f t="shared" si="16"/>
        <v>925311.58501365839</v>
      </c>
      <c r="D28" s="34">
        <f t="shared" si="13"/>
        <v>0.13653899668443725</v>
      </c>
      <c r="E28" s="32">
        <f t="shared" si="17"/>
        <v>3334394.9185901433</v>
      </c>
      <c r="F28" s="33">
        <f t="shared" si="18"/>
        <v>24420824.816051975</v>
      </c>
      <c r="G28" s="33"/>
      <c r="H28" s="32">
        <f t="shared" si="4"/>
        <v>27755219.734642118</v>
      </c>
      <c r="I28" s="33">
        <f t="shared" si="19"/>
        <v>19536659.852841578</v>
      </c>
      <c r="J28" s="32">
        <f t="shared" si="20"/>
        <v>10810612.249735065</v>
      </c>
      <c r="K28" s="32">
        <f t="shared" si="1"/>
        <v>7810612.2497350648</v>
      </c>
      <c r="L28">
        <v>22</v>
      </c>
      <c r="M28" s="30">
        <v>0</v>
      </c>
      <c r="N28" s="30">
        <f t="shared" si="21"/>
        <v>407947.63206547423</v>
      </c>
      <c r="O28" s="30">
        <f t="shared" si="22"/>
        <v>407947.63206547423</v>
      </c>
    </row>
    <row r="29" spans="3:19" x14ac:dyDescent="0.25">
      <c r="C29" s="31">
        <f t="shared" si="16"/>
        <v>921288.65160443448</v>
      </c>
      <c r="D29" s="34">
        <f t="shared" si="13"/>
        <v>0.13100190445447626</v>
      </c>
      <c r="E29" s="32">
        <f t="shared" si="17"/>
        <v>3519092.0151771381</v>
      </c>
      <c r="F29" s="33">
        <f t="shared" si="18"/>
        <v>26862907.297657173</v>
      </c>
      <c r="G29" s="33"/>
      <c r="H29" s="32">
        <f t="shared" si="4"/>
        <v>30381999.312834311</v>
      </c>
      <c r="I29" s="33">
        <f t="shared" si="19"/>
        <v>21490325.838125739</v>
      </c>
      <c r="J29" s="32">
        <f t="shared" si="20"/>
        <v>11459248.984719168</v>
      </c>
      <c r="K29" s="32">
        <f t="shared" si="1"/>
        <v>8459248.9847191684</v>
      </c>
      <c r="L29">
        <v>23</v>
      </c>
      <c r="M29" s="30">
        <v>0</v>
      </c>
      <c r="N29" s="30">
        <f t="shared" si="21"/>
        <v>432424.4899894027</v>
      </c>
      <c r="O29" s="30">
        <f t="shared" si="22"/>
        <v>432424.4899894027</v>
      </c>
    </row>
    <row r="30" spans="3:19" x14ac:dyDescent="0.25">
      <c r="C30" s="31">
        <f t="shared" si="16"/>
        <v>912668.29551730026</v>
      </c>
      <c r="D30" s="34">
        <f t="shared" si="13"/>
        <v>0.12505700744490875</v>
      </c>
      <c r="E30" s="32">
        <f t="shared" si="17"/>
        <v>3695334.2777065076</v>
      </c>
      <c r="F30" s="33">
        <f t="shared" si="18"/>
        <v>29549198.027422894</v>
      </c>
      <c r="G30" s="33"/>
      <c r="H30" s="32">
        <f t="shared" si="4"/>
        <v>33244532.305129401</v>
      </c>
      <c r="I30" s="33">
        <f t="shared" si="19"/>
        <v>23639358.421938315</v>
      </c>
      <c r="J30" s="32">
        <f t="shared" si="20"/>
        <v>12146803.92380232</v>
      </c>
      <c r="K30" s="32">
        <f t="shared" si="1"/>
        <v>9146803.9238023199</v>
      </c>
      <c r="L30">
        <v>24</v>
      </c>
      <c r="M30" s="30">
        <v>0</v>
      </c>
      <c r="N30" s="30">
        <f t="shared" si="21"/>
        <v>458369.9593887669</v>
      </c>
      <c r="O30" s="30">
        <f t="shared" si="22"/>
        <v>458369.9593887669</v>
      </c>
    </row>
    <row r="31" spans="3:19" x14ac:dyDescent="0.25">
      <c r="C31" s="31">
        <f t="shared" si="16"/>
        <v>899528.6676249787</v>
      </c>
      <c r="D31" s="34">
        <f t="shared" si="13"/>
        <v>0.11877451251935418</v>
      </c>
      <c r="E31" s="32">
        <f t="shared" si="17"/>
        <v>3860660.7501495183</v>
      </c>
      <c r="F31" s="33">
        <f t="shared" si="18"/>
        <v>32504117.830165185</v>
      </c>
      <c r="G31" s="33"/>
      <c r="H31" s="32">
        <f t="shared" si="4"/>
        <v>36364778.580314703</v>
      </c>
      <c r="I31" s="33">
        <f t="shared" si="19"/>
        <v>26003294.26413215</v>
      </c>
      <c r="J31" s="32">
        <f t="shared" si="20"/>
        <v>12875612.159230459</v>
      </c>
      <c r="K31" s="32">
        <f t="shared" si="1"/>
        <v>9875612.1592304595</v>
      </c>
      <c r="L31">
        <v>25</v>
      </c>
      <c r="M31" s="30">
        <v>0</v>
      </c>
      <c r="N31" s="30">
        <f t="shared" si="21"/>
        <v>485872.15695209295</v>
      </c>
      <c r="O31" s="30">
        <f t="shared" si="22"/>
        <v>485872.15695209295</v>
      </c>
    </row>
    <row r="32" spans="3:19" x14ac:dyDescent="0.25">
      <c r="C32" s="31">
        <f t="shared" ref="C32:C38" si="23">E32/(1.06)^L32</f>
        <v>881936.62419986073</v>
      </c>
      <c r="D32" s="34">
        <f t="shared" ref="D32:D38" si="24">(H32-F32)/F32</f>
        <v>0.11221703923739931</v>
      </c>
      <c r="E32" s="32">
        <f t="shared" ref="E32:E38" si="25">H32-F32</f>
        <v>4012267.4525171667</v>
      </c>
      <c r="F32" s="33">
        <f t="shared" ref="F32:F38" si="26">F31*1.1</f>
        <v>35754529.613181703</v>
      </c>
      <c r="G32" s="33"/>
      <c r="H32" s="32">
        <f t="shared" si="4"/>
        <v>39766797.06569887</v>
      </c>
      <c r="I32" s="33">
        <f t="shared" ref="I32:I38" si="27">I31*1.1</f>
        <v>28603623.690545365</v>
      </c>
      <c r="J32" s="32">
        <f t="shared" ref="J32:J38" si="28">J31*1.06</f>
        <v>13648148.888784287</v>
      </c>
      <c r="K32" s="32">
        <f t="shared" si="1"/>
        <v>10648148.888784287</v>
      </c>
      <c r="L32">
        <v>26</v>
      </c>
      <c r="M32" s="30">
        <v>0</v>
      </c>
      <c r="N32" s="30">
        <f t="shared" ref="N32:N38" si="29">N31*1.06</f>
        <v>515024.48636921856</v>
      </c>
      <c r="O32" s="30">
        <f t="shared" ref="O32:O38" si="30">N32-M32</f>
        <v>515024.48636921856</v>
      </c>
    </row>
    <row r="33" spans="3:15" x14ac:dyDescent="0.25">
      <c r="C33" s="31">
        <f t="shared" si="23"/>
        <v>859948.10694927501</v>
      </c>
      <c r="D33" s="34">
        <f t="shared" si="24"/>
        <v>0.10544035342267052</v>
      </c>
      <c r="E33" s="32">
        <f t="shared" si="25"/>
        <v>4146967.2627627403</v>
      </c>
      <c r="F33" s="33">
        <f t="shared" si="26"/>
        <v>39329982.574499875</v>
      </c>
      <c r="G33" s="33"/>
      <c r="H33" s="32">
        <f t="shared" si="4"/>
        <v>43476949.837262616</v>
      </c>
      <c r="I33" s="33">
        <f t="shared" si="27"/>
        <v>31463986.059599902</v>
      </c>
      <c r="J33" s="32">
        <f t="shared" si="28"/>
        <v>14467037.822111346</v>
      </c>
      <c r="K33" s="32">
        <f t="shared" si="1"/>
        <v>11467037.822111346</v>
      </c>
      <c r="L33">
        <v>27</v>
      </c>
      <c r="M33" s="30">
        <v>0</v>
      </c>
      <c r="N33" s="30">
        <f t="shared" si="29"/>
        <v>545925.95555137168</v>
      </c>
      <c r="O33" s="30">
        <f t="shared" si="30"/>
        <v>545925.95555137168</v>
      </c>
    </row>
    <row r="34" spans="3:15" x14ac:dyDescent="0.25">
      <c r="C34" s="31">
        <f t="shared" si="23"/>
        <v>833608.49175510206</v>
      </c>
      <c r="D34" s="34">
        <f t="shared" si="24"/>
        <v>9.8494032449692764E-2</v>
      </c>
      <c r="E34" s="32">
        <f t="shared" si="25"/>
        <v>4261145.4379325062</v>
      </c>
      <c r="F34" s="33">
        <f t="shared" si="26"/>
        <v>43262980.831949867</v>
      </c>
      <c r="G34" s="33"/>
      <c r="H34" s="32">
        <f t="shared" si="4"/>
        <v>47524126.269882374</v>
      </c>
      <c r="I34" s="33">
        <f t="shared" si="27"/>
        <v>34610384.665559895</v>
      </c>
      <c r="J34" s="32">
        <f t="shared" si="28"/>
        <v>15335060.091438027</v>
      </c>
      <c r="K34" s="32">
        <f t="shared" si="1"/>
        <v>12335060.091438027</v>
      </c>
      <c r="L34">
        <v>28</v>
      </c>
      <c r="M34" s="30">
        <v>0</v>
      </c>
      <c r="N34" s="30">
        <f t="shared" si="29"/>
        <v>578681.51288445399</v>
      </c>
      <c r="O34" s="30">
        <f t="shared" si="30"/>
        <v>578681.51288445399</v>
      </c>
    </row>
    <row r="35" spans="3:15" x14ac:dyDescent="0.25">
      <c r="C35" s="31">
        <f t="shared" si="23"/>
        <v>802952.90751997766</v>
      </c>
      <c r="D35" s="34">
        <f t="shared" si="24"/>
        <v>9.1422068514853724E-2</v>
      </c>
      <c r="E35" s="32">
        <f t="shared" si="25"/>
        <v>4350710.3175528571</v>
      </c>
      <c r="F35" s="33">
        <f t="shared" si="26"/>
        <v>47589278.915144861</v>
      </c>
      <c r="G35" s="33"/>
      <c r="H35" s="32">
        <f t="shared" si="4"/>
        <v>51939989.232697718</v>
      </c>
      <c r="I35" s="33">
        <f t="shared" si="27"/>
        <v>38071423.132115886</v>
      </c>
      <c r="J35" s="32">
        <f t="shared" si="28"/>
        <v>16255163.69692431</v>
      </c>
      <c r="K35" s="32">
        <f t="shared" si="1"/>
        <v>13255163.69692431</v>
      </c>
      <c r="L35">
        <v>29</v>
      </c>
      <c r="M35" s="30">
        <v>0</v>
      </c>
      <c r="N35" s="30">
        <f t="shared" si="29"/>
        <v>613402.40365752124</v>
      </c>
      <c r="O35" s="30">
        <f t="shared" si="30"/>
        <v>613402.40365752124</v>
      </c>
    </row>
    <row r="36" spans="3:15" x14ac:dyDescent="0.25">
      <c r="C36" s="31">
        <f t="shared" si="23"/>
        <v>768006.52642902359</v>
      </c>
      <c r="D36" s="34">
        <f t="shared" si="24"/>
        <v>8.4263415585110968E-2</v>
      </c>
      <c r="E36" s="32">
        <f t="shared" si="25"/>
        <v>4411038.7052848712</v>
      </c>
      <c r="F36" s="33">
        <f t="shared" si="26"/>
        <v>52348206.806659348</v>
      </c>
      <c r="G36" s="33"/>
      <c r="H36" s="32">
        <f t="shared" si="4"/>
        <v>56759245.511944219</v>
      </c>
      <c r="I36" s="33">
        <f t="shared" si="27"/>
        <v>41878565.445327476</v>
      </c>
      <c r="J36" s="32">
        <f t="shared" si="28"/>
        <v>17230473.518739771</v>
      </c>
      <c r="K36" s="32">
        <f t="shared" si="1"/>
        <v>14230473.518739771</v>
      </c>
      <c r="L36">
        <v>30</v>
      </c>
      <c r="M36" s="30">
        <v>0</v>
      </c>
      <c r="N36" s="30">
        <f t="shared" si="29"/>
        <v>650206.54787697259</v>
      </c>
      <c r="O36" s="30">
        <f t="shared" si="30"/>
        <v>650206.54787697259</v>
      </c>
    </row>
    <row r="37" spans="3:15" x14ac:dyDescent="0.25">
      <c r="C37" s="31">
        <f t="shared" si="23"/>
        <v>728784.82684747619</v>
      </c>
      <c r="D37" s="34">
        <f t="shared" si="24"/>
        <v>7.705248519844346E-2</v>
      </c>
      <c r="E37" s="32">
        <f t="shared" si="25"/>
        <v>4436915.3731486946</v>
      </c>
      <c r="F37" s="33">
        <f t="shared" si="26"/>
        <v>57583027.487325288</v>
      </c>
      <c r="G37" s="33"/>
      <c r="H37" s="32">
        <f t="shared" si="4"/>
        <v>62019942.860473983</v>
      </c>
      <c r="I37" s="33">
        <f t="shared" si="27"/>
        <v>46066421.989860229</v>
      </c>
      <c r="J37" s="32">
        <f t="shared" si="28"/>
        <v>18264301.929864157</v>
      </c>
      <c r="K37" s="32">
        <f t="shared" si="1"/>
        <v>15264301.929864157</v>
      </c>
      <c r="L37">
        <v>31</v>
      </c>
      <c r="M37" s="30">
        <v>0</v>
      </c>
      <c r="N37" s="30">
        <f t="shared" si="29"/>
        <v>689218.94074959098</v>
      </c>
      <c r="O37" s="30">
        <f t="shared" si="30"/>
        <v>689218.94074959098</v>
      </c>
    </row>
    <row r="38" spans="3:15" x14ac:dyDescent="0.25">
      <c r="C38" s="31">
        <f t="shared" si="23"/>
        <v>685293.8299905177</v>
      </c>
      <c r="D38" s="34">
        <f t="shared" si="24"/>
        <v>6.9819595817731325E-2</v>
      </c>
      <c r="E38" s="32">
        <f t="shared" si="25"/>
        <v>4422466.075639002</v>
      </c>
      <c r="F38" s="33">
        <f t="shared" si="26"/>
        <v>63341330.236057825</v>
      </c>
      <c r="G38" s="33"/>
      <c r="H38" s="32">
        <f t="shared" si="4"/>
        <v>67763796.311696827</v>
      </c>
      <c r="I38" s="33">
        <f t="shared" si="27"/>
        <v>50673064.188846253</v>
      </c>
      <c r="J38" s="32">
        <f t="shared" si="28"/>
        <v>19360160.045656007</v>
      </c>
      <c r="K38" s="32">
        <f t="shared" si="1"/>
        <v>16360160.045656007</v>
      </c>
      <c r="L38">
        <v>32</v>
      </c>
      <c r="M38" s="30">
        <v>0</v>
      </c>
      <c r="N38" s="30">
        <f t="shared" si="29"/>
        <v>730572.07719456649</v>
      </c>
      <c r="O38" s="30">
        <f t="shared" si="30"/>
        <v>730572.07719456649</v>
      </c>
    </row>
    <row r="39" spans="3:15" x14ac:dyDescent="0.25">
      <c r="C39" s="31">
        <f t="shared" ref="C39:C42" si="31">E39/(1.06)^L39</f>
        <v>637530.31142173789</v>
      </c>
      <c r="D39" s="34">
        <f t="shared" ref="D39:D42" si="32">(H39-F39)/F39</f>
        <v>6.2591380010437639E-2</v>
      </c>
      <c r="E39" s="32">
        <f t="shared" ref="E39:E42" si="33">H39-F39</f>
        <v>4361083.3982888907</v>
      </c>
      <c r="F39" s="33">
        <f t="shared" ref="F39:F42" si="34">F38*1.1</f>
        <v>69675463.259663612</v>
      </c>
      <c r="G39" s="33"/>
      <c r="H39" s="32">
        <f t="shared" si="4"/>
        <v>74036546.657952502</v>
      </c>
      <c r="I39" s="33">
        <f t="shared" ref="I39:I42" si="35">I38*1.1</f>
        <v>55740370.60773088</v>
      </c>
      <c r="J39" s="32">
        <f t="shared" ref="J39:J42" si="36">J38*1.06</f>
        <v>20521769.648395367</v>
      </c>
      <c r="K39" s="32">
        <f t="shared" si="1"/>
        <v>17521769.648395367</v>
      </c>
      <c r="L39">
        <v>33</v>
      </c>
      <c r="M39" s="30">
        <v>0</v>
      </c>
      <c r="N39" s="30">
        <f t="shared" ref="N39:N42" si="37">N38*1.06</f>
        <v>774406.40182624047</v>
      </c>
      <c r="O39" s="30">
        <f t="shared" ref="O39:O42" si="38">N39-M39</f>
        <v>774406.40182624047</v>
      </c>
    </row>
    <row r="40" spans="3:15" x14ac:dyDescent="0.25">
      <c r="C40" s="31">
        <f t="shared" si="31"/>
        <v>585481.98836063198</v>
      </c>
      <c r="D40" s="34">
        <f t="shared" si="32"/>
        <v>5.5391153336244565E-2</v>
      </c>
      <c r="E40" s="32">
        <f t="shared" si="33"/>
        <v>4245344.6961088926</v>
      </c>
      <c r="F40" s="33">
        <f t="shared" si="34"/>
        <v>76643009.585629985</v>
      </c>
      <c r="G40" s="33"/>
      <c r="H40" s="32">
        <f t="shared" si="4"/>
        <v>80888354.281738877</v>
      </c>
      <c r="I40" s="33">
        <f t="shared" si="35"/>
        <v>61314407.66850397</v>
      </c>
      <c r="J40" s="32">
        <f t="shared" si="36"/>
        <v>21753075.827299088</v>
      </c>
      <c r="K40" s="32">
        <f t="shared" si="1"/>
        <v>18753075.827299088</v>
      </c>
      <c r="L40">
        <v>34</v>
      </c>
      <c r="M40" s="30">
        <v>0</v>
      </c>
      <c r="N40" s="30">
        <f t="shared" si="37"/>
        <v>820870.78593581496</v>
      </c>
      <c r="O40" s="30">
        <f t="shared" si="38"/>
        <v>820870.78593581496</v>
      </c>
    </row>
    <row r="41" spans="3:15" x14ac:dyDescent="0.25">
      <c r="C41" s="31">
        <f t="shared" si="31"/>
        <v>529127.68370741326</v>
      </c>
      <c r="D41" s="34">
        <f t="shared" si="32"/>
        <v>4.8239248470137594E-2</v>
      </c>
      <c r="E41" s="32">
        <f t="shared" si="33"/>
        <v>4066921.3011903763</v>
      </c>
      <c r="F41" s="33">
        <f t="shared" si="34"/>
        <v>84307310.544192985</v>
      </c>
      <c r="G41" s="33"/>
      <c r="H41" s="32">
        <f t="shared" si="4"/>
        <v>88374231.845383361</v>
      </c>
      <c r="I41" s="33">
        <f t="shared" si="35"/>
        <v>67445848.435354367</v>
      </c>
      <c r="J41" s="32">
        <f t="shared" si="36"/>
        <v>23058260.376937035</v>
      </c>
      <c r="K41" s="32">
        <f t="shared" si="1"/>
        <v>20058260.376937035</v>
      </c>
      <c r="L41">
        <v>35</v>
      </c>
      <c r="M41" s="30">
        <v>0</v>
      </c>
      <c r="N41" s="30">
        <f t="shared" si="37"/>
        <v>870123.03309196385</v>
      </c>
      <c r="O41" s="30">
        <f t="shared" si="38"/>
        <v>870123.03309196385</v>
      </c>
    </row>
    <row r="42" spans="3:15" x14ac:dyDescent="0.25">
      <c r="C42" s="31">
        <f t="shared" si="31"/>
        <v>468437.46762442193</v>
      </c>
      <c r="D42" s="34">
        <f t="shared" si="32"/>
        <v>4.1153317766043501E-2</v>
      </c>
      <c r="E42" s="32">
        <f t="shared" si="33"/>
        <v>3816478.0949082524</v>
      </c>
      <c r="F42" s="33">
        <f t="shared" si="34"/>
        <v>92738041.598612294</v>
      </c>
      <c r="G42" s="33"/>
      <c r="H42" s="32">
        <f t="shared" si="4"/>
        <v>96554519.693520546</v>
      </c>
      <c r="I42" s="33">
        <f t="shared" si="35"/>
        <v>74190433.278889805</v>
      </c>
      <c r="J42" s="32">
        <f t="shared" si="36"/>
        <v>24441755.999553259</v>
      </c>
      <c r="K42" s="32">
        <f t="shared" si="1"/>
        <v>21441755.999553259</v>
      </c>
      <c r="L42">
        <v>36</v>
      </c>
      <c r="M42" s="30">
        <v>0</v>
      </c>
      <c r="N42" s="30">
        <f t="shared" si="37"/>
        <v>922330.41507748177</v>
      </c>
      <c r="O42" s="30">
        <f t="shared" si="38"/>
        <v>922330.41507748177</v>
      </c>
    </row>
    <row r="43" spans="3:15" x14ac:dyDescent="0.25">
      <c r="C43" s="31">
        <f t="shared" ref="C43:C47" si="39">E43/(1.06)^L43</f>
        <v>403372.77744802419</v>
      </c>
      <c r="D43" s="34">
        <f t="shared" ref="D43:D47" si="40">(H43-F43)/F43</f>
        <v>3.4148607173147626E-2</v>
      </c>
      <c r="E43" s="32">
        <f t="shared" ref="E43:E47" si="41">H43-F43</f>
        <v>3483562.4478138387</v>
      </c>
      <c r="F43" s="33">
        <f t="shared" ref="F43:F47" si="42">F42*1.1</f>
        <v>102011845.75847353</v>
      </c>
      <c r="G43" s="33"/>
      <c r="H43" s="32">
        <f t="shared" si="4"/>
        <v>105495408.20628737</v>
      </c>
      <c r="I43" s="33">
        <f t="shared" ref="I43:I47" si="43">I42*1.1</f>
        <v>81609476.606778786</v>
      </c>
      <c r="J43" s="32">
        <f t="shared" ref="J43:J47" si="44">J42*1.06</f>
        <v>25908261.359526455</v>
      </c>
      <c r="K43" s="32">
        <f t="shared" si="1"/>
        <v>22908261.359526455</v>
      </c>
      <c r="L43">
        <v>37</v>
      </c>
      <c r="M43" s="30">
        <v>0</v>
      </c>
      <c r="N43" s="30">
        <f t="shared" ref="N43:N47" si="45">N42*1.06</f>
        <v>977670.2399821307</v>
      </c>
      <c r="O43" s="30">
        <f t="shared" ref="O43:O47" si="46">N43-M43</f>
        <v>977670.2399821307</v>
      </c>
    </row>
    <row r="44" spans="3:15" x14ac:dyDescent="0.25">
      <c r="C44" s="31">
        <f t="shared" si="39"/>
        <v>333886.51664224989</v>
      </c>
      <c r="D44" s="34">
        <f t="shared" si="40"/>
        <v>2.7238204150699646E-2</v>
      </c>
      <c r="E44" s="32">
        <f t="shared" si="41"/>
        <v>3056481.4286148846</v>
      </c>
      <c r="F44" s="33">
        <f t="shared" si="42"/>
        <v>112213030.33432089</v>
      </c>
      <c r="G44" s="33"/>
      <c r="H44" s="32">
        <f t="shared" si="4"/>
        <v>115269511.76293577</v>
      </c>
      <c r="I44" s="33">
        <f t="shared" si="43"/>
        <v>89770424.267456666</v>
      </c>
      <c r="J44" s="32">
        <f t="shared" si="44"/>
        <v>27462757.041098043</v>
      </c>
      <c r="K44" s="32">
        <f t="shared" si="1"/>
        <v>24462757.041098043</v>
      </c>
      <c r="L44">
        <v>38</v>
      </c>
      <c r="M44" s="30">
        <v>0</v>
      </c>
      <c r="N44" s="30">
        <f t="shared" si="45"/>
        <v>1036330.4543810586</v>
      </c>
      <c r="O44" s="30">
        <f t="shared" si="46"/>
        <v>1036330.4543810586</v>
      </c>
    </row>
    <row r="45" spans="3:15" x14ac:dyDescent="0.25">
      <c r="C45" s="31">
        <f t="shared" si="39"/>
        <v>259923.13344572083</v>
      </c>
      <c r="D45" s="34">
        <f t="shared" si="40"/>
        <v>2.0433261985081594E-2</v>
      </c>
      <c r="E45" s="32">
        <f t="shared" si="41"/>
        <v>2522166.0716571957</v>
      </c>
      <c r="F45" s="33">
        <f t="shared" si="42"/>
        <v>123434333.36775298</v>
      </c>
      <c r="G45" s="33"/>
      <c r="H45" s="32">
        <f t="shared" si="4"/>
        <v>125956499.43941018</v>
      </c>
      <c r="I45" s="33">
        <f t="shared" si="43"/>
        <v>98747466.694202334</v>
      </c>
      <c r="J45" s="32">
        <f t="shared" si="44"/>
        <v>29110522.463563927</v>
      </c>
      <c r="K45" s="32">
        <f t="shared" si="1"/>
        <v>26110522.463563927</v>
      </c>
      <c r="L45">
        <v>39</v>
      </c>
      <c r="M45" s="30">
        <v>0</v>
      </c>
      <c r="N45" s="30">
        <f t="shared" si="45"/>
        <v>1098510.2816439222</v>
      </c>
      <c r="O45" s="30">
        <f t="shared" si="46"/>
        <v>1098510.2816439222</v>
      </c>
    </row>
    <row r="46" spans="3:15" x14ac:dyDescent="0.25">
      <c r="C46" s="31">
        <f t="shared" si="39"/>
        <v>181418.67980641915</v>
      </c>
      <c r="D46" s="34">
        <f t="shared" si="40"/>
        <v>1.3743202692936602E-2</v>
      </c>
      <c r="E46" s="32">
        <f t="shared" si="41"/>
        <v>1866021.369014591</v>
      </c>
      <c r="F46" s="33">
        <f t="shared" si="42"/>
        <v>135777766.7045283</v>
      </c>
      <c r="G46" s="33"/>
      <c r="H46" s="32">
        <f t="shared" si="4"/>
        <v>137643788.07354289</v>
      </c>
      <c r="I46" s="33">
        <f t="shared" si="43"/>
        <v>108622213.36362258</v>
      </c>
      <c r="J46" s="32">
        <f t="shared" si="44"/>
        <v>30857153.811377764</v>
      </c>
      <c r="K46" s="32">
        <f t="shared" si="1"/>
        <v>27857153.811377764</v>
      </c>
      <c r="L46">
        <v>40</v>
      </c>
      <c r="M46" s="30">
        <v>0</v>
      </c>
      <c r="N46" s="30">
        <f t="shared" si="45"/>
        <v>1164420.8985425576</v>
      </c>
      <c r="O46" s="30">
        <f t="shared" si="46"/>
        <v>1164420.8985425576</v>
      </c>
    </row>
    <row r="47" spans="3:15" x14ac:dyDescent="0.25">
      <c r="C47" s="31"/>
      <c r="D47" s="34"/>
      <c r="E47" s="32"/>
      <c r="F47" s="33"/>
      <c r="G47" s="33"/>
      <c r="H47" s="32"/>
      <c r="I47" s="33"/>
      <c r="J47" s="32"/>
      <c r="K47" s="32"/>
      <c r="M47" s="30"/>
      <c r="N47" s="30"/>
      <c r="O47" s="30"/>
    </row>
    <row r="53" spans="4:15" x14ac:dyDescent="0.25">
      <c r="N53" t="s">
        <v>319</v>
      </c>
    </row>
    <row r="54" spans="4:15" x14ac:dyDescent="0.25">
      <c r="D54" t="s">
        <v>318</v>
      </c>
      <c r="F54" s="30">
        <v>3000000</v>
      </c>
      <c r="G54" s="30"/>
      <c r="H54" s="30" t="s">
        <v>323</v>
      </c>
      <c r="I54" s="30">
        <v>2400000</v>
      </c>
      <c r="J54" s="30">
        <v>3000000</v>
      </c>
      <c r="N54">
        <v>15000</v>
      </c>
    </row>
    <row r="55" spans="4:15" x14ac:dyDescent="0.25">
      <c r="F55" t="s">
        <v>322</v>
      </c>
      <c r="I55" t="s">
        <v>322</v>
      </c>
      <c r="J55" t="s">
        <v>324</v>
      </c>
      <c r="N55" t="s">
        <v>321</v>
      </c>
      <c r="O55" t="s">
        <v>318</v>
      </c>
    </row>
    <row r="56" spans="4:15" x14ac:dyDescent="0.25">
      <c r="D56" s="34">
        <f>(H56-F56)/F56</f>
        <v>-0.23174400000000001</v>
      </c>
      <c r="F56" s="30">
        <v>3000000</v>
      </c>
      <c r="G56" s="30"/>
      <c r="H56" s="32">
        <f>I56+K56+O56</f>
        <v>2304768</v>
      </c>
      <c r="I56" s="30">
        <v>2400000</v>
      </c>
      <c r="J56" s="30">
        <v>3000000</v>
      </c>
      <c r="K56" s="32">
        <f>J56-3000000</f>
        <v>0</v>
      </c>
      <c r="L56">
        <v>1</v>
      </c>
      <c r="M56" s="30">
        <v>275232</v>
      </c>
      <c r="N56" s="30">
        <f>N54*12</f>
        <v>180000</v>
      </c>
      <c r="O56" s="30">
        <f>N56-M56</f>
        <v>-95232</v>
      </c>
    </row>
    <row r="57" spans="4:15" x14ac:dyDescent="0.25">
      <c r="D57" s="34">
        <f t="shared" ref="D57:D75" si="47">(H57-F57)/F57</f>
        <v>-0.15176727272727283</v>
      </c>
      <c r="F57" s="33">
        <f>F56*1.1</f>
        <v>3300000.0000000005</v>
      </c>
      <c r="G57" s="33"/>
      <c r="H57" s="32">
        <f>I57+K57+O57</f>
        <v>2799168</v>
      </c>
      <c r="I57" s="33">
        <f>I56*1.1</f>
        <v>2640000</v>
      </c>
      <c r="J57" s="32">
        <f>J56*1.08</f>
        <v>3240000</v>
      </c>
      <c r="K57" s="32">
        <f t="shared" ref="K57:K89" si="48">J57-3000000</f>
        <v>240000</v>
      </c>
      <c r="L57">
        <v>2</v>
      </c>
      <c r="M57" s="30">
        <v>275232</v>
      </c>
      <c r="N57" s="30">
        <f>N56*1.08</f>
        <v>194400</v>
      </c>
      <c r="O57" s="30">
        <f t="shared" ref="O57:O75" si="49">N57-M57</f>
        <v>-80832</v>
      </c>
    </row>
    <row r="58" spans="4:15" x14ac:dyDescent="0.25">
      <c r="D58" s="34">
        <f t="shared" si="47"/>
        <v>-8.0462809917355479E-2</v>
      </c>
      <c r="F58" s="33">
        <f t="shared" ref="F58:F75" si="50">F57*1.1</f>
        <v>3630000.0000000009</v>
      </c>
      <c r="G58" s="33"/>
      <c r="H58" s="32">
        <f>I58+K58+O58</f>
        <v>3337920.0000000005</v>
      </c>
      <c r="I58" s="33">
        <f t="shared" ref="I58:I75" si="51">I57*1.1</f>
        <v>2904000.0000000005</v>
      </c>
      <c r="J58" s="32">
        <f t="shared" ref="J58:J75" si="52">J57*1.08</f>
        <v>3499200</v>
      </c>
      <c r="K58" s="32">
        <f t="shared" si="48"/>
        <v>499200</v>
      </c>
      <c r="L58">
        <v>3</v>
      </c>
      <c r="M58" s="30">
        <v>275232</v>
      </c>
      <c r="N58" s="30">
        <f t="shared" ref="N58:N80" si="53">N57*1.08</f>
        <v>209952</v>
      </c>
      <c r="O58" s="30">
        <f t="shared" si="49"/>
        <v>-65280</v>
      </c>
    </row>
    <row r="59" spans="4:15" x14ac:dyDescent="0.25">
      <c r="D59" s="34">
        <f t="shared" si="47"/>
        <v>-1.7016739293764044E-2</v>
      </c>
      <c r="F59" s="33">
        <f t="shared" si="50"/>
        <v>3993000.0000000014</v>
      </c>
      <c r="G59" s="33"/>
      <c r="H59" s="32">
        <f>I59+K59+O59</f>
        <v>3925052.1600000015</v>
      </c>
      <c r="I59" s="33">
        <f t="shared" si="51"/>
        <v>3194400.0000000009</v>
      </c>
      <c r="J59" s="32">
        <f t="shared" si="52"/>
        <v>3779136.0000000005</v>
      </c>
      <c r="K59" s="32">
        <f t="shared" si="48"/>
        <v>779136.00000000047</v>
      </c>
      <c r="L59">
        <v>4</v>
      </c>
      <c r="M59" s="30">
        <v>275232</v>
      </c>
      <c r="N59" s="30">
        <f t="shared" si="53"/>
        <v>226748.16</v>
      </c>
      <c r="O59" s="30">
        <f t="shared" si="49"/>
        <v>-48483.839999999997</v>
      </c>
    </row>
    <row r="60" spans="4:15" x14ac:dyDescent="0.25">
      <c r="D60" s="34">
        <f t="shared" si="47"/>
        <v>3.9310359674885692E-2</v>
      </c>
      <c r="F60" s="33">
        <f t="shared" si="50"/>
        <v>4392300.0000000019</v>
      </c>
      <c r="G60" s="33"/>
      <c r="H60" s="32">
        <f>I60+K60+O60</f>
        <v>4564962.8928000024</v>
      </c>
      <c r="I60" s="33">
        <f t="shared" si="51"/>
        <v>3513840.0000000014</v>
      </c>
      <c r="J60" s="32">
        <f t="shared" si="52"/>
        <v>4081466.8800000008</v>
      </c>
      <c r="K60" s="32">
        <f t="shared" si="48"/>
        <v>1081466.8800000008</v>
      </c>
      <c r="L60">
        <v>5</v>
      </c>
      <c r="M60" s="30">
        <v>275232</v>
      </c>
      <c r="N60" s="30">
        <f t="shared" si="53"/>
        <v>244888.01280000003</v>
      </c>
      <c r="O60" s="30">
        <f t="shared" si="49"/>
        <v>-30343.987199999974</v>
      </c>
    </row>
    <row r="61" spans="4:15" x14ac:dyDescent="0.25">
      <c r="D61" s="34">
        <f t="shared" si="47"/>
        <v>8.9190232540002967E-2</v>
      </c>
      <c r="F61" s="33">
        <f t="shared" si="50"/>
        <v>4831530.0000000028</v>
      </c>
      <c r="G61" s="33"/>
      <c r="H61" s="32">
        <f>I61+K61+O61</f>
        <v>5262455.2842240036</v>
      </c>
      <c r="I61" s="33">
        <f t="shared" si="51"/>
        <v>3865224.0000000019</v>
      </c>
      <c r="J61" s="32">
        <f t="shared" si="52"/>
        <v>4407984.2304000016</v>
      </c>
      <c r="K61" s="32">
        <f t="shared" si="48"/>
        <v>1407984.2304000016</v>
      </c>
      <c r="L61">
        <v>6</v>
      </c>
      <c r="M61" s="30">
        <v>275232</v>
      </c>
      <c r="N61" s="30">
        <f t="shared" si="53"/>
        <v>264479.05382400006</v>
      </c>
      <c r="O61" s="30">
        <f t="shared" si="49"/>
        <v>-10752.946175999939</v>
      </c>
    </row>
    <row r="62" spans="4:15" x14ac:dyDescent="0.25">
      <c r="D62" s="34">
        <f t="shared" si="47"/>
        <v>0.1332331104154133</v>
      </c>
      <c r="F62" s="33">
        <f t="shared" si="50"/>
        <v>5314683.0000000037</v>
      </c>
      <c r="G62" s="33"/>
      <c r="H62" s="32">
        <f>I62+K62+O62</f>
        <v>6022774.7469619242</v>
      </c>
      <c r="I62" s="33">
        <f t="shared" si="51"/>
        <v>4251746.4000000022</v>
      </c>
      <c r="J62" s="32">
        <f t="shared" si="52"/>
        <v>4760622.968832002</v>
      </c>
      <c r="K62" s="32">
        <f t="shared" si="48"/>
        <v>1760622.968832002</v>
      </c>
      <c r="L62">
        <v>7</v>
      </c>
      <c r="M62" s="30">
        <v>275232</v>
      </c>
      <c r="N62" s="30">
        <f t="shared" si="53"/>
        <v>285637.37812992011</v>
      </c>
      <c r="O62" s="30">
        <f t="shared" si="49"/>
        <v>10405.378129920107</v>
      </c>
    </row>
    <row r="63" spans="4:15" x14ac:dyDescent="0.25">
      <c r="D63" s="34">
        <f t="shared" si="47"/>
        <v>0.17199331032005175</v>
      </c>
      <c r="F63" s="33">
        <f t="shared" si="50"/>
        <v>5846151.3000000045</v>
      </c>
      <c r="G63" s="33"/>
      <c r="H63" s="32">
        <f>I63+K63+O63</f>
        <v>6851650.2147188792</v>
      </c>
      <c r="I63" s="33">
        <f t="shared" si="51"/>
        <v>4676921.0400000028</v>
      </c>
      <c r="J63" s="32">
        <f t="shared" si="52"/>
        <v>5141472.8063385626</v>
      </c>
      <c r="K63" s="32">
        <f t="shared" si="48"/>
        <v>2141472.8063385626</v>
      </c>
      <c r="L63">
        <v>8</v>
      </c>
      <c r="M63" s="30">
        <v>275232</v>
      </c>
      <c r="N63" s="30">
        <f t="shared" si="53"/>
        <v>308488.36838031374</v>
      </c>
      <c r="O63" s="30">
        <f t="shared" si="49"/>
        <v>33256.368380313739</v>
      </c>
    </row>
    <row r="64" spans="4:15" x14ac:dyDescent="0.25">
      <c r="D64" s="34">
        <f t="shared" si="47"/>
        <v>0.20597432625093551</v>
      </c>
      <c r="F64" s="33">
        <f t="shared" si="50"/>
        <v>6430766.4300000053</v>
      </c>
      <c r="G64" s="33"/>
      <c r="H64" s="32">
        <f>I64+K64+O64</f>
        <v>7755339.2126963902</v>
      </c>
      <c r="I64" s="33">
        <f t="shared" si="51"/>
        <v>5144613.1440000031</v>
      </c>
      <c r="J64" s="32">
        <f t="shared" si="52"/>
        <v>5552790.6308456482</v>
      </c>
      <c r="K64" s="32">
        <f t="shared" si="48"/>
        <v>2552790.6308456482</v>
      </c>
      <c r="L64">
        <v>9</v>
      </c>
      <c r="M64" s="30">
        <v>275232</v>
      </c>
      <c r="N64" s="30">
        <f t="shared" si="53"/>
        <v>333167.43785073888</v>
      </c>
      <c r="O64" s="30">
        <f t="shared" si="49"/>
        <v>57935.437850738876</v>
      </c>
    </row>
    <row r="65" spans="3:15" x14ac:dyDescent="0.25">
      <c r="D65" s="34">
        <f t="shared" si="47"/>
        <v>0.23563345728635102</v>
      </c>
      <c r="F65" s="33">
        <f t="shared" si="50"/>
        <v>7073843.0730000064</v>
      </c>
      <c r="G65" s="33"/>
      <c r="H65" s="32">
        <f>I65+K65+O65</f>
        <v>8740677.1725921035</v>
      </c>
      <c r="I65" s="33">
        <f t="shared" si="51"/>
        <v>5659074.4584000036</v>
      </c>
      <c r="J65" s="32">
        <f t="shared" si="52"/>
        <v>5997013.8813133007</v>
      </c>
      <c r="K65" s="32">
        <f t="shared" si="48"/>
        <v>2997013.8813133007</v>
      </c>
      <c r="L65">
        <v>10</v>
      </c>
      <c r="M65" s="30">
        <v>275232</v>
      </c>
      <c r="N65" s="30">
        <f t="shared" si="53"/>
        <v>359820.83287879801</v>
      </c>
      <c r="O65" s="30">
        <f t="shared" si="49"/>
        <v>84588.832878798014</v>
      </c>
    </row>
    <row r="66" spans="3:15" x14ac:dyDescent="0.25">
      <c r="D66" s="34">
        <f t="shared" si="47"/>
        <v>0.26138601481004986</v>
      </c>
      <c r="F66" s="33">
        <f t="shared" si="50"/>
        <v>7781227.3803000078</v>
      </c>
      <c r="G66" s="33"/>
      <c r="H66" s="32">
        <f>I66+K66+O66</f>
        <v>9815131.3955674712</v>
      </c>
      <c r="I66" s="33">
        <f t="shared" si="51"/>
        <v>6224981.9042400047</v>
      </c>
      <c r="J66" s="32">
        <f t="shared" si="52"/>
        <v>6476774.9918183647</v>
      </c>
      <c r="K66" s="32">
        <f t="shared" si="48"/>
        <v>3476774.9918183647</v>
      </c>
      <c r="L66">
        <v>11</v>
      </c>
      <c r="M66" s="30">
        <v>275232</v>
      </c>
      <c r="N66" s="30">
        <f t="shared" si="53"/>
        <v>388606.49950910191</v>
      </c>
      <c r="O66" s="30">
        <f t="shared" si="49"/>
        <v>113374.49950910191</v>
      </c>
    </row>
    <row r="67" spans="3:15" x14ac:dyDescent="0.25">
      <c r="D67" s="34">
        <f t="shared" si="47"/>
        <v>0.28360914712077268</v>
      </c>
      <c r="F67" s="33">
        <f t="shared" si="50"/>
        <v>8559350.1183300093</v>
      </c>
      <c r="G67" s="33"/>
      <c r="H67" s="32">
        <f>I67+K67+O67</f>
        <v>10986860.105297668</v>
      </c>
      <c r="I67" s="33">
        <f t="shared" si="51"/>
        <v>6847480.0946640056</v>
      </c>
      <c r="J67" s="32">
        <f t="shared" si="52"/>
        <v>6994916.991163834</v>
      </c>
      <c r="K67" s="32">
        <f t="shared" si="48"/>
        <v>3994916.991163834</v>
      </c>
      <c r="L67">
        <v>12</v>
      </c>
      <c r="M67" s="30">
        <v>275232</v>
      </c>
      <c r="N67" s="30">
        <f t="shared" si="53"/>
        <v>419695.01946983009</v>
      </c>
      <c r="O67" s="30">
        <f t="shared" si="49"/>
        <v>144463.01946983009</v>
      </c>
    </row>
    <row r="68" spans="3:15" x14ac:dyDescent="0.25">
      <c r="D68" s="34">
        <f t="shared" si="47"/>
        <v>0.30264531621278906</v>
      </c>
      <c r="F68" s="33">
        <f t="shared" si="50"/>
        <v>9415285.1301630102</v>
      </c>
      <c r="G68" s="33"/>
      <c r="H68" s="32">
        <f>I68+K68+O68</f>
        <v>12264777.075614765</v>
      </c>
      <c r="I68" s="33">
        <f t="shared" si="51"/>
        <v>7532228.1041304069</v>
      </c>
      <c r="J68" s="32">
        <f t="shared" si="52"/>
        <v>7554510.3504569409</v>
      </c>
      <c r="K68" s="32">
        <f t="shared" si="48"/>
        <v>4554510.3504569409</v>
      </c>
      <c r="L68">
        <v>13</v>
      </c>
      <c r="M68" s="30">
        <v>275232</v>
      </c>
      <c r="N68" s="30">
        <f t="shared" si="53"/>
        <v>453270.62102741655</v>
      </c>
      <c r="O68" s="30">
        <f t="shared" si="49"/>
        <v>178038.62102741655</v>
      </c>
    </row>
    <row r="69" spans="3:15" x14ac:dyDescent="0.25">
      <c r="D69" s="34">
        <f t="shared" si="47"/>
        <v>0.31880545835076562</v>
      </c>
      <c r="F69" s="33">
        <f t="shared" si="50"/>
        <v>10356813.643179312</v>
      </c>
      <c r="G69" s="33"/>
      <c r="H69" s="32">
        <f>I69+K69+O69</f>
        <v>13658622.363746556</v>
      </c>
      <c r="I69" s="33">
        <f t="shared" si="51"/>
        <v>8285450.914543448</v>
      </c>
      <c r="J69" s="32">
        <f t="shared" si="52"/>
        <v>8158871.178493497</v>
      </c>
      <c r="K69" s="32">
        <f t="shared" si="48"/>
        <v>5158871.178493497</v>
      </c>
      <c r="L69">
        <v>14</v>
      </c>
      <c r="M69" s="30">
        <v>275232</v>
      </c>
      <c r="N69" s="30">
        <f t="shared" si="53"/>
        <v>489532.2707096099</v>
      </c>
      <c r="O69" s="30">
        <f t="shared" si="49"/>
        <v>214300.2707096099</v>
      </c>
    </row>
    <row r="70" spans="3:15" x14ac:dyDescent="0.25">
      <c r="C70" s="31">
        <f>E70/(1.06)^L70</f>
        <v>1579992.8140874449</v>
      </c>
      <c r="D70" s="34">
        <f t="shared" si="47"/>
        <v>0.3323718571873881</v>
      </c>
      <c r="E70" s="32">
        <f>H70-F70</f>
        <v>3786544.7236399055</v>
      </c>
      <c r="F70" s="33">
        <f t="shared" si="50"/>
        <v>11392495.007497244</v>
      </c>
      <c r="G70" s="33"/>
      <c r="H70" s="32">
        <f>I70+K70+O70</f>
        <v>15179039.731137149</v>
      </c>
      <c r="I70" s="33">
        <f t="shared" si="51"/>
        <v>9113996.0059977937</v>
      </c>
      <c r="J70" s="32">
        <f t="shared" si="52"/>
        <v>8811580.8727729768</v>
      </c>
      <c r="K70" s="32">
        <f t="shared" si="48"/>
        <v>5811580.8727729768</v>
      </c>
      <c r="L70">
        <v>15</v>
      </c>
      <c r="M70" s="30">
        <v>275232</v>
      </c>
      <c r="N70" s="30">
        <f t="shared" si="53"/>
        <v>528694.85236637876</v>
      </c>
      <c r="O70" s="30">
        <f t="shared" si="49"/>
        <v>253462.85236637876</v>
      </c>
    </row>
    <row r="71" spans="3:15" x14ac:dyDescent="0.25">
      <c r="C71" s="31">
        <f t="shared" ref="C71:C80" si="54">E71/(1.06)^L71</f>
        <v>1803352.2323378427</v>
      </c>
      <c r="D71" s="34">
        <f t="shared" si="47"/>
        <v>0.36556353973593358</v>
      </c>
      <c r="E71" s="32">
        <f t="shared" ref="E71:E80" si="55">H71-F71</f>
        <v>4581148.8815011084</v>
      </c>
      <c r="F71" s="33">
        <f t="shared" si="50"/>
        <v>12531744.508246969</v>
      </c>
      <c r="G71" s="33"/>
      <c r="H71" s="32">
        <f>I71+K71+O71</f>
        <v>17112893.389748078</v>
      </c>
      <c r="I71" s="33">
        <f t="shared" si="51"/>
        <v>10025395.606597574</v>
      </c>
      <c r="J71" s="32">
        <f t="shared" si="52"/>
        <v>9516507.3425948154</v>
      </c>
      <c r="K71" s="32">
        <f t="shared" si="48"/>
        <v>6516507.3425948154</v>
      </c>
      <c r="L71">
        <v>16</v>
      </c>
      <c r="M71" s="30">
        <v>0</v>
      </c>
      <c r="N71" s="30">
        <f t="shared" si="53"/>
        <v>570990.44055568916</v>
      </c>
      <c r="O71" s="30">
        <f t="shared" si="49"/>
        <v>570990.44055568916</v>
      </c>
    </row>
    <row r="72" spans="3:15" x14ac:dyDescent="0.25">
      <c r="C72" s="31">
        <f t="shared" si="54"/>
        <v>1907889.8305655648</v>
      </c>
      <c r="D72" s="34">
        <f t="shared" si="47"/>
        <v>0.37269089714940129</v>
      </c>
      <c r="E72" s="32">
        <f t="shared" si="55"/>
        <v>5137513.8139882106</v>
      </c>
      <c r="F72" s="33">
        <f t="shared" si="50"/>
        <v>13784918.959071668</v>
      </c>
      <c r="G72" s="33"/>
      <c r="H72" s="32">
        <f>I72+K72+O72</f>
        <v>18922432.773059878</v>
      </c>
      <c r="I72" s="33">
        <f t="shared" si="51"/>
        <v>11027935.167257333</v>
      </c>
      <c r="J72" s="32">
        <f t="shared" si="52"/>
        <v>10277827.930002401</v>
      </c>
      <c r="K72" s="32">
        <f t="shared" si="48"/>
        <v>7277827.9300024007</v>
      </c>
      <c r="L72">
        <v>17</v>
      </c>
      <c r="M72" s="30">
        <v>0</v>
      </c>
      <c r="N72" s="30">
        <f t="shared" si="53"/>
        <v>616669.67580014432</v>
      </c>
      <c r="O72" s="30">
        <f t="shared" si="49"/>
        <v>616669.67580014432</v>
      </c>
    </row>
    <row r="73" spans="3:15" x14ac:dyDescent="0.25">
      <c r="C73" s="31">
        <f t="shared" si="54"/>
        <v>2008652.4186938806</v>
      </c>
      <c r="D73" s="34">
        <f t="shared" si="47"/>
        <v>0.37810590889505952</v>
      </c>
      <c r="E73" s="32">
        <f t="shared" si="55"/>
        <v>5733375.2432709839</v>
      </c>
      <c r="F73" s="33">
        <f t="shared" si="50"/>
        <v>15163410.854978835</v>
      </c>
      <c r="G73" s="33"/>
      <c r="H73" s="32">
        <f>I73+K73+O73</f>
        <v>20896786.098249819</v>
      </c>
      <c r="I73" s="33">
        <f t="shared" si="51"/>
        <v>12130728.683983067</v>
      </c>
      <c r="J73" s="32">
        <f t="shared" si="52"/>
        <v>11100054.164402593</v>
      </c>
      <c r="K73" s="32">
        <f t="shared" si="48"/>
        <v>8100054.1644025929</v>
      </c>
      <c r="L73">
        <v>18</v>
      </c>
      <c r="M73" s="30">
        <v>0</v>
      </c>
      <c r="N73" s="30">
        <f t="shared" si="53"/>
        <v>666003.24986415589</v>
      </c>
      <c r="O73" s="30">
        <f t="shared" si="49"/>
        <v>666003.24986415589</v>
      </c>
    </row>
    <row r="74" spans="3:15" x14ac:dyDescent="0.25">
      <c r="C74" s="31">
        <f t="shared" si="54"/>
        <v>2105827.8251687423</v>
      </c>
      <c r="D74" s="34">
        <f t="shared" si="47"/>
        <v>0.38198359556243172</v>
      </c>
      <c r="E74" s="32">
        <f t="shared" si="55"/>
        <v>6371391.6193127446</v>
      </c>
      <c r="F74" s="33">
        <f t="shared" si="50"/>
        <v>16679751.940476719</v>
      </c>
      <c r="G74" s="33"/>
      <c r="H74" s="32">
        <f>I74+K74+O74</f>
        <v>23051143.559789464</v>
      </c>
      <c r="I74" s="33">
        <f t="shared" si="51"/>
        <v>13343801.552381374</v>
      </c>
      <c r="J74" s="32">
        <f t="shared" si="52"/>
        <v>11988058.497554801</v>
      </c>
      <c r="K74" s="32">
        <f t="shared" si="48"/>
        <v>8988058.4975548014</v>
      </c>
      <c r="L74">
        <v>19</v>
      </c>
      <c r="M74" s="30">
        <v>0</v>
      </c>
      <c r="N74" s="30">
        <f t="shared" si="53"/>
        <v>719283.50985328841</v>
      </c>
      <c r="O74" s="30">
        <f t="shared" si="49"/>
        <v>719283.50985328841</v>
      </c>
    </row>
    <row r="75" spans="3:15" x14ac:dyDescent="0.25">
      <c r="C75" s="31">
        <f t="shared" si="54"/>
        <v>2199590.2581029721</v>
      </c>
      <c r="D75" s="34">
        <f t="shared" si="47"/>
        <v>0.38448271490923924</v>
      </c>
      <c r="E75" s="32">
        <f t="shared" si="55"/>
        <v>7054383.9410958551</v>
      </c>
      <c r="F75" s="33">
        <f t="shared" si="50"/>
        <v>18347727.134524394</v>
      </c>
      <c r="G75" s="33"/>
      <c r="H75" s="32">
        <f>I75+K75+O75</f>
        <v>25402111.075620249</v>
      </c>
      <c r="I75" s="33">
        <f t="shared" si="51"/>
        <v>14678181.707619512</v>
      </c>
      <c r="J75" s="32">
        <f t="shared" si="52"/>
        <v>12947103.177359186</v>
      </c>
      <c r="K75" s="32">
        <f t="shared" si="48"/>
        <v>9947103.1773591861</v>
      </c>
      <c r="L75">
        <v>20</v>
      </c>
      <c r="M75" s="30">
        <v>0</v>
      </c>
      <c r="N75" s="30">
        <f>N74*1.08</f>
        <v>776826.19064155151</v>
      </c>
      <c r="O75" s="30">
        <f t="shared" si="49"/>
        <v>776826.19064155151</v>
      </c>
    </row>
    <row r="76" spans="3:15" x14ac:dyDescent="0.25">
      <c r="C76" s="31">
        <f t="shared" si="54"/>
        <v>2290100.9254822889</v>
      </c>
      <c r="D76" s="34">
        <f t="shared" ref="D76:D80" si="56">(H76-F76)/F76</f>
        <v>0.38574724669827543</v>
      </c>
      <c r="E76" s="32">
        <f t="shared" si="55"/>
        <v>7785343.7478454262</v>
      </c>
      <c r="F76" s="33">
        <f t="shared" ref="F76:F80" si="57">F75*1.1</f>
        <v>20182499.847976834</v>
      </c>
      <c r="G76" s="33"/>
      <c r="H76" s="32">
        <f t="shared" ref="H76:H80" si="58">I76+K76+O76</f>
        <v>27967843.59582226</v>
      </c>
      <c r="I76" s="33">
        <f t="shared" ref="I76:I80" si="59">I75*1.1</f>
        <v>16145999.878381465</v>
      </c>
      <c r="J76" s="32">
        <f t="shared" ref="J76:J80" si="60">J75*1.08</f>
        <v>13982871.431547921</v>
      </c>
      <c r="K76" s="32">
        <f t="shared" si="48"/>
        <v>10982871.431547921</v>
      </c>
      <c r="L76">
        <v>21</v>
      </c>
      <c r="M76" s="30">
        <v>0</v>
      </c>
      <c r="N76" s="30">
        <f t="shared" si="53"/>
        <v>838972.28589287563</v>
      </c>
      <c r="O76" s="30">
        <f t="shared" ref="O76:O80" si="61">N76-M76</f>
        <v>838972.28589287563</v>
      </c>
    </row>
    <row r="77" spans="3:15" x14ac:dyDescent="0.25">
      <c r="C77" s="31">
        <f t="shared" si="54"/>
        <v>2377508.6138598067</v>
      </c>
      <c r="D77" s="34">
        <f t="shared" si="56"/>
        <v>0.38590774243279014</v>
      </c>
      <c r="E77" s="32">
        <f t="shared" si="55"/>
        <v>8567441.2482811585</v>
      </c>
      <c r="F77" s="33">
        <f t="shared" si="57"/>
        <v>22200749.83277452</v>
      </c>
      <c r="G77" s="33"/>
      <c r="H77" s="32">
        <f t="shared" si="58"/>
        <v>30768191.081055678</v>
      </c>
      <c r="I77" s="33">
        <f t="shared" si="59"/>
        <v>17760599.866219614</v>
      </c>
      <c r="J77" s="32">
        <f t="shared" si="60"/>
        <v>15101501.146071756</v>
      </c>
      <c r="K77" s="32">
        <f t="shared" si="48"/>
        <v>12101501.146071756</v>
      </c>
      <c r="L77">
        <v>22</v>
      </c>
      <c r="M77" s="30">
        <v>0</v>
      </c>
      <c r="N77" s="30">
        <f t="shared" si="53"/>
        <v>906090.06876430579</v>
      </c>
      <c r="O77" s="30">
        <f t="shared" si="61"/>
        <v>906090.06876430579</v>
      </c>
    </row>
    <row r="78" spans="3:15" x14ac:dyDescent="0.25">
      <c r="C78" s="31">
        <f t="shared" si="54"/>
        <v>2461950.2276334413</v>
      </c>
      <c r="D78" s="34">
        <f t="shared" si="56"/>
        <v>0.38508255227445137</v>
      </c>
      <c r="E78" s="32">
        <f t="shared" si="55"/>
        <v>9404033.5488125533</v>
      </c>
      <c r="F78" s="33">
        <f t="shared" si="57"/>
        <v>24420824.816051975</v>
      </c>
      <c r="G78" s="33"/>
      <c r="H78" s="32">
        <f t="shared" si="58"/>
        <v>33824858.364864528</v>
      </c>
      <c r="I78" s="33">
        <f t="shared" si="59"/>
        <v>19536659.852841578</v>
      </c>
      <c r="J78" s="32">
        <f t="shared" si="60"/>
        <v>16309621.237757498</v>
      </c>
      <c r="K78" s="32">
        <f t="shared" si="48"/>
        <v>13309621.237757498</v>
      </c>
      <c r="L78">
        <v>23</v>
      </c>
      <c r="M78" s="30">
        <v>0</v>
      </c>
      <c r="N78" s="30">
        <f t="shared" si="53"/>
        <v>978577.27426545031</v>
      </c>
      <c r="O78" s="30">
        <f t="shared" si="61"/>
        <v>978577.27426545031</v>
      </c>
    </row>
    <row r="79" spans="3:15" x14ac:dyDescent="0.25">
      <c r="C79" s="31">
        <f t="shared" si="54"/>
        <v>2543551.2908722935</v>
      </c>
      <c r="D79" s="34">
        <f t="shared" si="56"/>
        <v>0.38337894031118286</v>
      </c>
      <c r="E79" s="32">
        <f t="shared" si="55"/>
        <v>10298672.933453348</v>
      </c>
      <c r="F79" s="33">
        <f t="shared" si="57"/>
        <v>26862907.297657173</v>
      </c>
      <c r="G79" s="33"/>
      <c r="H79" s="32">
        <f t="shared" si="58"/>
        <v>37161580.231110521</v>
      </c>
      <c r="I79" s="33">
        <f t="shared" si="59"/>
        <v>21490325.838125739</v>
      </c>
      <c r="J79" s="32">
        <f t="shared" si="60"/>
        <v>17614390.936778098</v>
      </c>
      <c r="K79" s="32">
        <f t="shared" si="48"/>
        <v>14614390.936778098</v>
      </c>
      <c r="L79">
        <v>24</v>
      </c>
      <c r="M79" s="30">
        <v>0</v>
      </c>
      <c r="N79" s="30">
        <f t="shared" si="53"/>
        <v>1056863.4562066863</v>
      </c>
      <c r="O79" s="30">
        <f t="shared" si="61"/>
        <v>1056863.4562066863</v>
      </c>
    </row>
    <row r="80" spans="3:15" x14ac:dyDescent="0.25">
      <c r="C80" s="31">
        <f t="shared" si="54"/>
        <v>2622426.4135364434</v>
      </c>
      <c r="D80" s="34">
        <f t="shared" si="56"/>
        <v>0.38089409832692483</v>
      </c>
      <c r="E80" s="32">
        <f t="shared" si="55"/>
        <v>11255115.138938989</v>
      </c>
      <c r="F80" s="33">
        <f t="shared" si="57"/>
        <v>29549198.027422894</v>
      </c>
      <c r="G80" s="33"/>
      <c r="H80" s="32">
        <f t="shared" si="58"/>
        <v>40804313.166361883</v>
      </c>
      <c r="I80" s="33">
        <f t="shared" si="59"/>
        <v>23639358.421938315</v>
      </c>
      <c r="J80" s="32">
        <f t="shared" si="60"/>
        <v>19023542.211720347</v>
      </c>
      <c r="K80" s="32">
        <f t="shared" si="48"/>
        <v>16023542.211720347</v>
      </c>
      <c r="L80">
        <v>25</v>
      </c>
      <c r="M80" s="30">
        <v>0</v>
      </c>
      <c r="N80" s="30">
        <f t="shared" si="53"/>
        <v>1141412.5327032213</v>
      </c>
      <c r="O80" s="30">
        <f t="shared" si="61"/>
        <v>1141412.5327032213</v>
      </c>
    </row>
    <row r="81" spans="3:15" x14ac:dyDescent="0.25">
      <c r="C81" s="31">
        <f t="shared" ref="C81:C89" si="62">E81/(1.06)^L81</f>
        <v>2698679.7238196055</v>
      </c>
      <c r="D81" s="34">
        <f t="shared" ref="D81:D89" si="63">(H81-F81)/F81</f>
        <v>0.37771606730241858</v>
      </c>
      <c r="E81" s="32">
        <f t="shared" ref="E81:E89" si="64">H81-F81</f>
        <v>12277327.557944417</v>
      </c>
      <c r="F81" s="33">
        <f t="shared" ref="F81:F89" si="65">F80*1.1</f>
        <v>32504117.830165185</v>
      </c>
      <c r="G81" s="33"/>
      <c r="H81" s="32">
        <f t="shared" ref="H81:H89" si="66">I81+K81+O81</f>
        <v>44781445.388109602</v>
      </c>
      <c r="I81" s="33">
        <f t="shared" ref="I81:I89" si="67">I80*1.1</f>
        <v>26003294.26413215</v>
      </c>
      <c r="J81" s="32">
        <f t="shared" ref="J81:J89" si="68">J80*1.08</f>
        <v>20545425.588657975</v>
      </c>
      <c r="K81" s="32">
        <f t="shared" si="48"/>
        <v>17545425.588657975</v>
      </c>
      <c r="L81">
        <v>26</v>
      </c>
      <c r="M81" s="30">
        <v>0</v>
      </c>
      <c r="N81" s="30">
        <f t="shared" ref="N81:N89" si="69">N80*1.08</f>
        <v>1232725.5353194792</v>
      </c>
      <c r="O81" s="30">
        <f t="shared" ref="O81:O89" si="70">N81-M81</f>
        <v>1232725.5353194792</v>
      </c>
    </row>
    <row r="82" spans="3:15" x14ac:dyDescent="0.25">
      <c r="C82" s="31">
        <f t="shared" si="62"/>
        <v>2772405.2682350981</v>
      </c>
      <c r="D82" s="34">
        <f t="shared" si="63"/>
        <v>0.37392457503707022</v>
      </c>
      <c r="E82" s="32">
        <f t="shared" si="64"/>
        <v>13369497.291259311</v>
      </c>
      <c r="F82" s="33">
        <f t="shared" si="65"/>
        <v>35754529.613181703</v>
      </c>
      <c r="G82" s="33"/>
      <c r="H82" s="32">
        <f t="shared" si="66"/>
        <v>49124026.904441014</v>
      </c>
      <c r="I82" s="33">
        <f t="shared" si="67"/>
        <v>28603623.690545365</v>
      </c>
      <c r="J82" s="32">
        <f t="shared" si="68"/>
        <v>22189059.635750614</v>
      </c>
      <c r="K82" s="32">
        <f t="shared" si="48"/>
        <v>19189059.635750614</v>
      </c>
      <c r="L82">
        <v>27</v>
      </c>
      <c r="M82" s="30">
        <v>0</v>
      </c>
      <c r="N82" s="30">
        <f t="shared" si="69"/>
        <v>1331343.5781450376</v>
      </c>
      <c r="O82" s="30">
        <f t="shared" si="70"/>
        <v>1331343.5781450376</v>
      </c>
    </row>
    <row r="83" spans="3:15" x14ac:dyDescent="0.25">
      <c r="C83" s="31">
        <f t="shared" si="62"/>
        <v>2843687.3809623709</v>
      </c>
      <c r="D83" s="34">
        <f t="shared" si="63"/>
        <v>0.36959179751917742</v>
      </c>
      <c r="E83" s="32">
        <f t="shared" si="64"/>
        <v>14536038.956107333</v>
      </c>
      <c r="F83" s="33">
        <f t="shared" si="65"/>
        <v>39329982.574499875</v>
      </c>
      <c r="G83" s="33"/>
      <c r="H83" s="32">
        <f t="shared" si="66"/>
        <v>53866021.530607209</v>
      </c>
      <c r="I83" s="33">
        <f t="shared" si="67"/>
        <v>31463986.059599902</v>
      </c>
      <c r="J83" s="32">
        <f t="shared" si="68"/>
        <v>23964184.406610664</v>
      </c>
      <c r="K83" s="32">
        <f t="shared" si="48"/>
        <v>20964184.406610664</v>
      </c>
      <c r="L83">
        <v>28</v>
      </c>
      <c r="M83" s="30">
        <v>0</v>
      </c>
      <c r="N83" s="30">
        <f t="shared" si="69"/>
        <v>1437851.0643966408</v>
      </c>
      <c r="O83" s="30">
        <f t="shared" si="70"/>
        <v>1437851.0643966408</v>
      </c>
    </row>
    <row r="84" spans="3:15" x14ac:dyDescent="0.25">
      <c r="C84" s="31">
        <f t="shared" si="62"/>
        <v>2912601.0238735401</v>
      </c>
      <c r="D84" s="34">
        <f t="shared" si="63"/>
        <v>0.36478305097838182</v>
      </c>
      <c r="E84" s="32">
        <f t="shared" si="64"/>
        <v>15781602.142297924</v>
      </c>
      <c r="F84" s="33">
        <f t="shared" si="65"/>
        <v>43262980.831949867</v>
      </c>
      <c r="G84" s="33"/>
      <c r="H84" s="32">
        <f t="shared" si="66"/>
        <v>59044582.974247791</v>
      </c>
      <c r="I84" s="33">
        <f t="shared" si="67"/>
        <v>34610384.665559895</v>
      </c>
      <c r="J84" s="32">
        <f t="shared" si="68"/>
        <v>25881319.159139518</v>
      </c>
      <c r="K84" s="32">
        <f t="shared" si="48"/>
        <v>22881319.159139518</v>
      </c>
      <c r="L84">
        <v>29</v>
      </c>
      <c r="M84" s="30">
        <v>0</v>
      </c>
      <c r="N84" s="30">
        <f t="shared" si="69"/>
        <v>1552879.149548372</v>
      </c>
      <c r="O84" s="30">
        <f t="shared" si="70"/>
        <v>1552879.149548372</v>
      </c>
    </row>
    <row r="85" spans="3:15" x14ac:dyDescent="0.25">
      <c r="C85" s="31">
        <f t="shared" si="62"/>
        <v>2979212.0985666509</v>
      </c>
      <c r="D85" s="34">
        <f t="shared" si="63"/>
        <v>0.35955742092382287</v>
      </c>
      <c r="E85" s="32">
        <f t="shared" si="64"/>
        <v>17111078.390353948</v>
      </c>
      <c r="F85" s="33">
        <f t="shared" si="65"/>
        <v>47589278.915144861</v>
      </c>
      <c r="G85" s="33"/>
      <c r="H85" s="32">
        <f t="shared" si="66"/>
        <v>64700357.305498809</v>
      </c>
      <c r="I85" s="33">
        <f t="shared" si="67"/>
        <v>38071423.132115886</v>
      </c>
      <c r="J85" s="32">
        <f t="shared" si="68"/>
        <v>27951824.691870682</v>
      </c>
      <c r="K85" s="32">
        <f t="shared" si="48"/>
        <v>24951824.691870682</v>
      </c>
      <c r="L85">
        <v>30</v>
      </c>
      <c r="M85" s="30">
        <v>0</v>
      </c>
      <c r="N85" s="30">
        <f t="shared" si="69"/>
        <v>1677109.481512242</v>
      </c>
      <c r="O85" s="30">
        <f t="shared" si="70"/>
        <v>1677109.481512242</v>
      </c>
    </row>
    <row r="86" spans="3:15" x14ac:dyDescent="0.25">
      <c r="C86" s="31">
        <f t="shared" si="62"/>
        <v>3043577.7316444353</v>
      </c>
      <c r="D86" s="34">
        <f t="shared" si="63"/>
        <v>0.35396833389839233</v>
      </c>
      <c r="E86" s="32">
        <f t="shared" si="64"/>
        <v>18529607.545921691</v>
      </c>
      <c r="F86" s="33">
        <f t="shared" si="65"/>
        <v>52348206.806659348</v>
      </c>
      <c r="G86" s="33"/>
      <c r="H86" s="32">
        <f t="shared" si="66"/>
        <v>70877814.352581039</v>
      </c>
      <c r="I86" s="33">
        <f t="shared" si="67"/>
        <v>41878565.445327476</v>
      </c>
      <c r="J86" s="32">
        <f t="shared" si="68"/>
        <v>30187970.667220339</v>
      </c>
      <c r="K86" s="32">
        <f t="shared" si="48"/>
        <v>27187970.667220339</v>
      </c>
      <c r="L86">
        <v>31</v>
      </c>
      <c r="M86" s="30">
        <v>0</v>
      </c>
      <c r="N86" s="30">
        <f t="shared" si="69"/>
        <v>1811278.2400332214</v>
      </c>
      <c r="O86" s="30">
        <f t="shared" si="70"/>
        <v>1811278.2400332214</v>
      </c>
    </row>
    <row r="87" spans="3:15" x14ac:dyDescent="0.25">
      <c r="C87" s="31">
        <f t="shared" si="62"/>
        <v>3105746.5343938465</v>
      </c>
      <c r="D87" s="34">
        <f t="shared" si="63"/>
        <v>0.34806407715850657</v>
      </c>
      <c r="E87" s="32">
        <f t="shared" si="64"/>
        <v>20042583.322368793</v>
      </c>
      <c r="F87" s="33">
        <f t="shared" si="65"/>
        <v>57583027.487325288</v>
      </c>
      <c r="G87" s="33"/>
      <c r="H87" s="32">
        <f t="shared" si="66"/>
        <v>77625610.809694082</v>
      </c>
      <c r="I87" s="33">
        <f t="shared" si="67"/>
        <v>46066421.989860229</v>
      </c>
      <c r="J87" s="32">
        <f t="shared" si="68"/>
        <v>32603008.320597969</v>
      </c>
      <c r="K87" s="32">
        <f t="shared" si="48"/>
        <v>29603008.320597969</v>
      </c>
      <c r="L87">
        <v>32</v>
      </c>
      <c r="M87" s="30">
        <v>0</v>
      </c>
      <c r="N87" s="30">
        <f t="shared" si="69"/>
        <v>1956180.4992358792</v>
      </c>
      <c r="O87" s="30">
        <f t="shared" si="70"/>
        <v>1956180.4992358792</v>
      </c>
    </row>
    <row r="88" spans="3:15" x14ac:dyDescent="0.25">
      <c r="C88" s="31">
        <f t="shared" si="62"/>
        <v>3165758.8379424606</v>
      </c>
      <c r="D88" s="34">
        <f t="shared" si="63"/>
        <v>0.34188827101520602</v>
      </c>
      <c r="E88" s="32">
        <f t="shared" si="64"/>
        <v>21655657.878209002</v>
      </c>
      <c r="F88" s="33">
        <f t="shared" si="65"/>
        <v>63341330.236057825</v>
      </c>
      <c r="G88" s="33"/>
      <c r="H88" s="32">
        <f t="shared" si="66"/>
        <v>84996988.114266828</v>
      </c>
      <c r="I88" s="33">
        <f t="shared" si="67"/>
        <v>50673064.188846253</v>
      </c>
      <c r="J88" s="32">
        <f t="shared" si="68"/>
        <v>35211248.986245811</v>
      </c>
      <c r="K88" s="32">
        <f t="shared" si="48"/>
        <v>32211248.986245811</v>
      </c>
      <c r="L88">
        <v>33</v>
      </c>
      <c r="M88" s="30">
        <v>0</v>
      </c>
      <c r="N88" s="30">
        <f t="shared" si="69"/>
        <v>2112674.9391747494</v>
      </c>
      <c r="O88" s="30">
        <f t="shared" si="70"/>
        <v>2112674.9391747494</v>
      </c>
    </row>
    <row r="89" spans="3:15" x14ac:dyDescent="0.25">
      <c r="C89" s="31">
        <f t="shared" si="62"/>
        <v>3223646.9048924912</v>
      </c>
      <c r="D89" s="34">
        <f t="shared" si="63"/>
        <v>0.3354802981418214</v>
      </c>
      <c r="E89" s="32">
        <f t="shared" si="64"/>
        <v>23374745.187521473</v>
      </c>
      <c r="F89" s="33">
        <f t="shared" si="65"/>
        <v>69675463.259663612</v>
      </c>
      <c r="G89" s="33"/>
      <c r="H89" s="32">
        <f t="shared" si="66"/>
        <v>93050208.447185084</v>
      </c>
      <c r="I89" s="33">
        <f t="shared" si="67"/>
        <v>55740370.60773088</v>
      </c>
      <c r="J89" s="32">
        <f t="shared" si="68"/>
        <v>38028148.905145481</v>
      </c>
      <c r="K89" s="32">
        <f t="shared" si="48"/>
        <v>35028148.905145481</v>
      </c>
      <c r="L89">
        <v>34</v>
      </c>
      <c r="M89" s="30">
        <v>0</v>
      </c>
      <c r="N89" s="30">
        <f t="shared" si="69"/>
        <v>2281688.9343087296</v>
      </c>
      <c r="O89" s="30">
        <f t="shared" si="70"/>
        <v>2281688.9343087296</v>
      </c>
    </row>
    <row r="90" spans="3:15" x14ac:dyDescent="0.25">
      <c r="C90" s="31"/>
      <c r="D90" s="34"/>
      <c r="E90" s="32"/>
      <c r="F90" s="33"/>
      <c r="G90" s="33"/>
      <c r="H90" s="32"/>
      <c r="I90" s="33"/>
      <c r="J90" s="32"/>
      <c r="K90" s="32"/>
      <c r="M90" s="30"/>
      <c r="N90" s="30"/>
      <c r="O90"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2E456-1ACC-42B9-865B-D997FD776B92}">
  <dimension ref="B2:BD90"/>
  <sheetViews>
    <sheetView zoomScale="85" zoomScaleNormal="85" workbookViewId="0">
      <selection activeCell="O12" sqref="O12"/>
    </sheetView>
  </sheetViews>
  <sheetFormatPr defaultRowHeight="13.2" x14ac:dyDescent="0.25"/>
  <cols>
    <col min="2" max="2" width="12.77734375" bestFit="1" customWidth="1"/>
    <col min="3" max="3" width="11.21875" customWidth="1"/>
    <col min="4" max="4" width="11.77734375" bestFit="1" customWidth="1"/>
    <col min="5" max="5" width="12.21875" bestFit="1" customWidth="1"/>
    <col min="6" max="6" width="11.77734375" bestFit="1" customWidth="1"/>
    <col min="7" max="7" width="10.21875" customWidth="1"/>
    <col min="8" max="8" width="22" customWidth="1"/>
    <col min="9" max="9" width="12.77734375" bestFit="1" customWidth="1"/>
    <col min="10" max="10" width="14.109375" bestFit="1" customWidth="1"/>
    <col min="11" max="11" width="11.77734375" bestFit="1" customWidth="1"/>
    <col min="12" max="12" width="7" customWidth="1"/>
    <col min="13" max="13" width="9.21875" bestFit="1" customWidth="1"/>
    <col min="14" max="14" width="12.5546875" bestFit="1" customWidth="1"/>
    <col min="15" max="15" width="12.5546875" customWidth="1"/>
    <col min="16" max="16" width="10.21875" bestFit="1" customWidth="1"/>
    <col min="17" max="17" width="11.77734375" bestFit="1" customWidth="1"/>
    <col min="19" max="19" width="10.33203125" bestFit="1" customWidth="1"/>
    <col min="21" max="21" width="12.88671875" bestFit="1" customWidth="1"/>
    <col min="23" max="23" width="11.88671875" bestFit="1" customWidth="1"/>
    <col min="24" max="24" width="12.21875" bestFit="1" customWidth="1"/>
    <col min="25" max="25" width="11.88671875" bestFit="1" customWidth="1"/>
    <col min="27" max="27" width="14.5546875" bestFit="1" customWidth="1"/>
    <col min="28" max="30" width="11.88671875" bestFit="1" customWidth="1"/>
    <col min="32" max="32" width="9.21875" bestFit="1" customWidth="1"/>
    <col min="33" max="33" width="12.6640625" bestFit="1" customWidth="1"/>
    <col min="34" max="34" width="9.88671875" bestFit="1" customWidth="1"/>
    <col min="35" max="35" width="11.88671875" bestFit="1" customWidth="1"/>
    <col min="37" max="37" width="9.21875" bestFit="1" customWidth="1"/>
    <col min="39" max="39" width="9.21875" bestFit="1" customWidth="1"/>
    <col min="42" max="42" width="15.21875" bestFit="1" customWidth="1"/>
    <col min="44" max="44" width="13.6640625" bestFit="1" customWidth="1"/>
    <col min="45" max="46" width="12.88671875" bestFit="1" customWidth="1"/>
    <col min="48" max="48" width="14.5546875" bestFit="1" customWidth="1"/>
    <col min="49" max="51" width="11.88671875" bestFit="1" customWidth="1"/>
    <col min="53" max="53" width="9.21875" bestFit="1" customWidth="1"/>
    <col min="54" max="54" width="12.6640625" bestFit="1" customWidth="1"/>
    <col min="55" max="55" width="10.33203125" bestFit="1" customWidth="1"/>
    <col min="56" max="56" width="11.88671875" bestFit="1" customWidth="1"/>
  </cols>
  <sheetData>
    <row r="2" spans="2:56" x14ac:dyDescent="0.25">
      <c r="M2" t="s">
        <v>328</v>
      </c>
    </row>
    <row r="3" spans="2:56" x14ac:dyDescent="0.25">
      <c r="E3" s="36" t="s">
        <v>332</v>
      </c>
      <c r="F3" s="30"/>
      <c r="G3" s="30"/>
      <c r="H3" s="30"/>
      <c r="J3" s="36" t="s">
        <v>334</v>
      </c>
      <c r="M3" t="s">
        <v>317</v>
      </c>
      <c r="N3" t="s">
        <v>319</v>
      </c>
    </row>
    <row r="4" spans="2:56" x14ac:dyDescent="0.25">
      <c r="B4" t="s">
        <v>325</v>
      </c>
      <c r="C4" t="s">
        <v>318</v>
      </c>
      <c r="E4" s="30">
        <v>600000</v>
      </c>
      <c r="F4" s="29"/>
      <c r="G4" s="30"/>
      <c r="H4" s="36" t="s">
        <v>333</v>
      </c>
      <c r="I4" s="30" t="s">
        <v>323</v>
      </c>
      <c r="J4" s="30">
        <v>3000000</v>
      </c>
      <c r="M4" s="28">
        <v>24342</v>
      </c>
      <c r="N4">
        <v>10000</v>
      </c>
      <c r="U4" t="s">
        <v>325</v>
      </c>
      <c r="V4" t="s">
        <v>318</v>
      </c>
      <c r="X4" s="30">
        <v>300000</v>
      </c>
      <c r="Y4" s="29"/>
      <c r="Z4" s="30"/>
      <c r="AA4" s="36" t="s">
        <v>333</v>
      </c>
      <c r="AB4" s="30" t="s">
        <v>323</v>
      </c>
      <c r="AC4" s="30">
        <v>3000000</v>
      </c>
      <c r="AF4" s="28">
        <v>27385</v>
      </c>
      <c r="AG4">
        <v>10000</v>
      </c>
      <c r="AP4" t="s">
        <v>325</v>
      </c>
      <c r="AQ4" t="s">
        <v>318</v>
      </c>
      <c r="AS4" s="30">
        <v>3000000</v>
      </c>
      <c r="AT4" s="29"/>
      <c r="AU4" s="30"/>
      <c r="AV4" s="36" t="s">
        <v>333</v>
      </c>
      <c r="AW4" s="30" t="s">
        <v>323</v>
      </c>
      <c r="AX4" s="30">
        <v>3000000</v>
      </c>
      <c r="BA4" s="28">
        <v>27385</v>
      </c>
      <c r="BB4">
        <v>10000</v>
      </c>
    </row>
    <row r="5" spans="2:56" x14ac:dyDescent="0.25">
      <c r="E5" t="s">
        <v>322</v>
      </c>
      <c r="H5" s="35" t="s">
        <v>331</v>
      </c>
      <c r="J5" t="s">
        <v>319</v>
      </c>
      <c r="M5" t="s">
        <v>316</v>
      </c>
      <c r="N5" t="s">
        <v>320</v>
      </c>
      <c r="P5" t="s">
        <v>318</v>
      </c>
      <c r="S5" t="s">
        <v>326</v>
      </c>
      <c r="X5" t="s">
        <v>322</v>
      </c>
      <c r="AA5" s="35" t="s">
        <v>335</v>
      </c>
      <c r="AC5" t="s">
        <v>319</v>
      </c>
      <c r="AF5" t="s">
        <v>316</v>
      </c>
      <c r="AG5" t="s">
        <v>320</v>
      </c>
      <c r="AH5" t="s">
        <v>318</v>
      </c>
      <c r="AK5" t="s">
        <v>326</v>
      </c>
      <c r="AS5" t="s">
        <v>322</v>
      </c>
      <c r="AV5" s="35" t="s">
        <v>335</v>
      </c>
      <c r="AX5" t="s">
        <v>319</v>
      </c>
      <c r="BA5" t="s">
        <v>316</v>
      </c>
      <c r="BB5" t="s">
        <v>320</v>
      </c>
      <c r="BC5" t="s">
        <v>318</v>
      </c>
    </row>
    <row r="6" spans="2:56" x14ac:dyDescent="0.25">
      <c r="B6" s="31">
        <f>D6/(1.06)^L6</f>
        <v>-72739.622641509428</v>
      </c>
      <c r="C6" s="34">
        <f>(I6-F6)/F6</f>
        <v>-1.2850666666666666</v>
      </c>
      <c r="D6" s="32">
        <f>I6-F6</f>
        <v>-77104</v>
      </c>
      <c r="E6" s="33">
        <f>E4*1.1</f>
        <v>660000</v>
      </c>
      <c r="F6" s="33">
        <f>E6-600000</f>
        <v>60000</v>
      </c>
      <c r="G6" s="33"/>
      <c r="H6" s="34">
        <f>((I6/600000)+1)^(1/L6) -1</f>
        <v>-2.850666666666668E-2</v>
      </c>
      <c r="I6" s="32">
        <f>K6+Q6</f>
        <v>-17104</v>
      </c>
      <c r="J6" s="33">
        <f>J4*1.06</f>
        <v>3180000</v>
      </c>
      <c r="K6" s="32">
        <f t="shared" ref="K6:K45" si="0">J6-3000000</f>
        <v>180000</v>
      </c>
      <c r="L6">
        <v>1</v>
      </c>
      <c r="M6" s="30">
        <f>M4*12</f>
        <v>292104</v>
      </c>
      <c r="N6" s="30">
        <f t="shared" ref="N6" si="1">N4*12</f>
        <v>120000</v>
      </c>
      <c r="O6" s="30">
        <v>25000</v>
      </c>
      <c r="P6" s="30">
        <f>N6-M6-O6</f>
        <v>-197104</v>
      </c>
      <c r="Q6" s="32">
        <f>P6</f>
        <v>-197104</v>
      </c>
      <c r="S6" s="32">
        <f>J6/(1.06)^L6</f>
        <v>3000000</v>
      </c>
      <c r="U6" s="31">
        <f>W6/(1.06)^AE6</f>
        <v>-55301.886792452824</v>
      </c>
      <c r="V6" s="34">
        <f>(AB6-Y6)/Y6</f>
        <v>-1.954</v>
      </c>
      <c r="W6" s="32">
        <f>AB6-Y6</f>
        <v>-58620</v>
      </c>
      <c r="X6" s="33">
        <f>X4*1.1</f>
        <v>330000</v>
      </c>
      <c r="Y6" s="33">
        <f>X6-300000</f>
        <v>30000</v>
      </c>
      <c r="Z6" s="33"/>
      <c r="AA6" s="37">
        <f>((AB6/300000)+1)^(1/AE6) -1</f>
        <v>-9.540000000000004E-2</v>
      </c>
      <c r="AB6" s="32">
        <f>AD6+AI6</f>
        <v>-28620</v>
      </c>
      <c r="AC6" s="33">
        <f>AC4*1.06</f>
        <v>3180000</v>
      </c>
      <c r="AD6" s="32">
        <f t="shared" ref="AD6:AD45" si="2">AC6-3000000</f>
        <v>180000</v>
      </c>
      <c r="AE6">
        <v>1</v>
      </c>
      <c r="AF6" s="30">
        <f>AF4*12</f>
        <v>328620</v>
      </c>
      <c r="AG6" s="30">
        <f t="shared" ref="AG6:AH6" si="3">AG4*12</f>
        <v>120000</v>
      </c>
      <c r="AH6" s="30">
        <f>AG6-AF6</f>
        <v>-208620</v>
      </c>
      <c r="AI6" s="32">
        <f>AH6</f>
        <v>-208620</v>
      </c>
      <c r="AK6" s="32">
        <f>AF6/(1.06)^AE6</f>
        <v>310018.86792452831</v>
      </c>
      <c r="AM6" s="32">
        <f>-AH6+P6</f>
        <v>11516</v>
      </c>
      <c r="AP6" s="31">
        <f>AR6/(1.06)^AZ6</f>
        <v>-4.3930310123371624E-10</v>
      </c>
      <c r="AQ6" s="34">
        <f>(AW6-AT6)/AT6</f>
        <v>-1.5522042910257952E-15</v>
      </c>
      <c r="AR6" s="32">
        <f>AW6-AT6</f>
        <v>-4.6566128730773926E-10</v>
      </c>
      <c r="AS6" s="33">
        <f>AS4*1.1</f>
        <v>3300000.0000000005</v>
      </c>
      <c r="AT6" s="33">
        <f>AS6-3000000</f>
        <v>300000.00000000047</v>
      </c>
      <c r="AU6" s="33"/>
      <c r="AV6" s="37">
        <f>((AW6/300000)+1)^(1/AZ6) -1</f>
        <v>1</v>
      </c>
      <c r="AW6" s="32">
        <f>AY6+BD6</f>
        <v>300000</v>
      </c>
      <c r="AX6" s="33">
        <f>AX4*1.06</f>
        <v>3180000</v>
      </c>
      <c r="AY6" s="32">
        <f t="shared" ref="AY6:AY45" si="4">AX6-3000000</f>
        <v>180000</v>
      </c>
      <c r="AZ6">
        <v>1</v>
      </c>
      <c r="BA6" s="30">
        <v>0</v>
      </c>
      <c r="BB6" s="30">
        <f t="shared" ref="BB6:BC6" si="5">BB4*12</f>
        <v>120000</v>
      </c>
      <c r="BC6" s="30">
        <f>BB6-BA6</f>
        <v>120000</v>
      </c>
      <c r="BD6" s="32">
        <f>BC6</f>
        <v>120000</v>
      </c>
    </row>
    <row r="7" spans="2:56" x14ac:dyDescent="0.25">
      <c r="B7" s="31">
        <f t="shared" ref="B7:B30" si="6">D7/(1.06)^L7</f>
        <v>-126564.61374154512</v>
      </c>
      <c r="C7" s="34">
        <f t="shared" ref="C7:C30" si="7">(I7-F7)/F7</f>
        <v>-1.1286349206349204</v>
      </c>
      <c r="D7" s="32">
        <f t="shared" ref="D7:D30" si="8">I7-F7</f>
        <v>-142208.00000000012</v>
      </c>
      <c r="E7" s="33">
        <f t="shared" ref="E7:E9" si="9">E6*1.1</f>
        <v>726000.00000000012</v>
      </c>
      <c r="F7" s="33">
        <f t="shared" ref="F7:F45" si="10">E7-600000</f>
        <v>126000.00000000012</v>
      </c>
      <c r="G7" s="33"/>
      <c r="H7" s="34">
        <f t="shared" ref="H7:H45" si="11">((I7/600000)+1)^(1/L7) -1</f>
        <v>-1.3599134901704057E-2</v>
      </c>
      <c r="I7" s="32">
        <f>K7+Q7</f>
        <v>-16208</v>
      </c>
      <c r="J7" s="32">
        <f>J6*1.06</f>
        <v>3370800</v>
      </c>
      <c r="K7" s="32">
        <f t="shared" si="0"/>
        <v>370800</v>
      </c>
      <c r="L7">
        <v>2</v>
      </c>
      <c r="M7" s="30">
        <v>292104</v>
      </c>
      <c r="N7" s="30">
        <f>N6*1.06</f>
        <v>127200</v>
      </c>
      <c r="O7" s="30">
        <v>25000</v>
      </c>
      <c r="P7" s="30">
        <f>N7-M7-O7</f>
        <v>-189904</v>
      </c>
      <c r="Q7" s="32">
        <f>P7+Q6</f>
        <v>-387008</v>
      </c>
      <c r="S7" s="32">
        <f t="shared" ref="S7:S20" si="12">J7/(1.06)^L7</f>
        <v>2999999.9999999995</v>
      </c>
      <c r="U7" s="31">
        <f t="shared" ref="U7:U10" si="13">W7/(1.06)^AE7</f>
        <v>-90993.236027055929</v>
      </c>
      <c r="V7" s="34">
        <f t="shared" ref="V7:V10" si="14">(AB7-Y7)/Y7</f>
        <v>-1.6228571428571423</v>
      </c>
      <c r="W7" s="32">
        <f t="shared" ref="W7:W10" si="15">AB7-Y7</f>
        <v>-102240.00000000006</v>
      </c>
      <c r="X7" s="33">
        <f t="shared" ref="X7:X10" si="16">X6*1.1</f>
        <v>363000.00000000006</v>
      </c>
      <c r="Y7" s="33">
        <f t="shared" ref="Y7:Y45" si="17">X7-300000</f>
        <v>63000.000000000058</v>
      </c>
      <c r="Z7" s="33"/>
      <c r="AA7" s="37">
        <f t="shared" ref="AA7:AA45" si="18">((AB7/300000)+1)^(1/AE7) -1</f>
        <v>-6.7691038335466858E-2</v>
      </c>
      <c r="AB7" s="32">
        <f>AD7+AI7</f>
        <v>-39240</v>
      </c>
      <c r="AC7" s="32">
        <f>AC6*1.06</f>
        <v>3370800</v>
      </c>
      <c r="AD7" s="32">
        <f t="shared" si="2"/>
        <v>370800</v>
      </c>
      <c r="AE7">
        <v>2</v>
      </c>
      <c r="AF7" s="30">
        <v>328620</v>
      </c>
      <c r="AG7" s="30">
        <f>AG6*1.06</f>
        <v>127200</v>
      </c>
      <c r="AH7" s="30">
        <f t="shared" ref="AH7:AH10" si="19">AG7-AF7</f>
        <v>-201420</v>
      </c>
      <c r="AI7" s="32">
        <f>AH7+AI6</f>
        <v>-410040</v>
      </c>
      <c r="AK7" s="32">
        <f t="shared" ref="AK7:AK10" si="20">AF7/(1.06)^AE7</f>
        <v>292470.63011747948</v>
      </c>
      <c r="AM7" s="32">
        <f t="shared" ref="AM7:AM20" si="21">-AH7+P7</f>
        <v>11516</v>
      </c>
      <c r="AP7" s="31">
        <f t="shared" ref="AP7:AP10" si="22">AR7/(1.06)^AZ7</f>
        <v>-10679.957280171706</v>
      </c>
      <c r="AQ7" s="34">
        <f t="shared" ref="AQ7:AQ10" si="23">(AW7-AT7)/AT7</f>
        <v>-1.9047619047620496E-2</v>
      </c>
      <c r="AR7" s="32">
        <f t="shared" ref="AR7:AR10" si="24">AW7-AT7</f>
        <v>-12000.000000000931</v>
      </c>
      <c r="AS7" s="33">
        <f t="shared" ref="AS7:AS10" si="25">AS6*1.1</f>
        <v>3630000.0000000009</v>
      </c>
      <c r="AT7" s="33">
        <f>AS7-3000000</f>
        <v>630000.00000000093</v>
      </c>
      <c r="AU7" s="33"/>
      <c r="AV7" s="37">
        <f t="shared" ref="AV7:AV10" si="26">((AW7/300000)+1)^(1/AZ7) -1</f>
        <v>0.74928556845359018</v>
      </c>
      <c r="AW7" s="32">
        <f>AY7+BD7</f>
        <v>618000</v>
      </c>
      <c r="AX7" s="32">
        <f>AX6*1.06</f>
        <v>3370800</v>
      </c>
      <c r="AY7" s="32">
        <f t="shared" si="4"/>
        <v>370800</v>
      </c>
      <c r="AZ7">
        <v>2</v>
      </c>
      <c r="BA7" s="30">
        <v>0</v>
      </c>
      <c r="BB7" s="30">
        <f>BB6*1.06</f>
        <v>127200</v>
      </c>
      <c r="BC7" s="30">
        <f t="shared" ref="BC7" si="27">BB7-BA7</f>
        <v>127200</v>
      </c>
      <c r="BD7" s="32">
        <f>BC7+BD6</f>
        <v>247200</v>
      </c>
    </row>
    <row r="8" spans="2:56" x14ac:dyDescent="0.25">
      <c r="B8" s="31">
        <f t="shared" si="6"/>
        <v>-163584.70415174958</v>
      </c>
      <c r="C8" s="34">
        <f t="shared" si="7"/>
        <v>-0.98102719033232633</v>
      </c>
      <c r="D8" s="32">
        <f t="shared" si="8"/>
        <v>-194832.00000000023</v>
      </c>
      <c r="E8" s="33">
        <f t="shared" si="9"/>
        <v>798600.00000000023</v>
      </c>
      <c r="F8" s="33">
        <f t="shared" si="10"/>
        <v>198600.00000000023</v>
      </c>
      <c r="G8" s="33"/>
      <c r="H8" s="34">
        <f t="shared" si="11"/>
        <v>2.0889665136407665E-3</v>
      </c>
      <c r="I8" s="32">
        <f t="shared" ref="I8:I20" si="28">K8+Q8</f>
        <v>3768</v>
      </c>
      <c r="J8" s="32">
        <f t="shared" ref="J8:J9" si="29">J7*1.06</f>
        <v>3573048</v>
      </c>
      <c r="K8" s="32">
        <f t="shared" si="0"/>
        <v>573048</v>
      </c>
      <c r="L8">
        <v>3</v>
      </c>
      <c r="M8" s="30">
        <v>292104</v>
      </c>
      <c r="N8" s="30">
        <f t="shared" ref="N8:N9" si="30">N7*1.06</f>
        <v>134832</v>
      </c>
      <c r="O8" s="30">
        <v>25000</v>
      </c>
      <c r="P8" s="30">
        <f t="shared" ref="P8:P22" si="31">N8-M8-O8</f>
        <v>-182272</v>
      </c>
      <c r="Q8" s="32">
        <f t="shared" ref="Q8:Q30" si="32">P8+Q7</f>
        <v>-569280</v>
      </c>
      <c r="S8" s="32">
        <f t="shared" si="12"/>
        <v>2999999.9999999991</v>
      </c>
      <c r="U8" s="31">
        <f t="shared" si="13"/>
        <v>-109217.67633684189</v>
      </c>
      <c r="V8" s="34">
        <f t="shared" si="14"/>
        <v>-1.3099697885196371</v>
      </c>
      <c r="W8" s="32">
        <f t="shared" si="15"/>
        <v>-130080.00000000012</v>
      </c>
      <c r="X8" s="33">
        <f t="shared" si="16"/>
        <v>399300.00000000012</v>
      </c>
      <c r="Y8" s="33">
        <f t="shared" si="17"/>
        <v>99300.000000000116</v>
      </c>
      <c r="Z8" s="33"/>
      <c r="AA8" s="37">
        <f t="shared" si="18"/>
        <v>-3.5441242648602378E-2</v>
      </c>
      <c r="AB8" s="32">
        <f t="shared" ref="AB8:AB10" si="33">AD8+AI8</f>
        <v>-30780</v>
      </c>
      <c r="AC8" s="32">
        <f t="shared" ref="AC8:AC10" si="34">AC7*1.06</f>
        <v>3573048</v>
      </c>
      <c r="AD8" s="32">
        <f t="shared" si="2"/>
        <v>573048</v>
      </c>
      <c r="AE8">
        <v>3</v>
      </c>
      <c r="AF8" s="30">
        <v>328620</v>
      </c>
      <c r="AG8" s="30">
        <f t="shared" ref="AG8:AG10" si="35">AG7*1.06</f>
        <v>134832</v>
      </c>
      <c r="AH8" s="30">
        <f t="shared" si="19"/>
        <v>-193788</v>
      </c>
      <c r="AI8" s="32">
        <f t="shared" ref="AI8:AI10" si="36">AH8+AI7</f>
        <v>-603828</v>
      </c>
      <c r="AK8" s="32">
        <f t="shared" si="20"/>
        <v>275915.68879007496</v>
      </c>
      <c r="AM8" s="32">
        <f t="shared" si="21"/>
        <v>11516</v>
      </c>
      <c r="AP8" s="31">
        <f t="shared" si="22"/>
        <v>-31838.363212586049</v>
      </c>
      <c r="AQ8" s="34">
        <f t="shared" si="23"/>
        <v>-3.8187311178249091E-2</v>
      </c>
      <c r="AR8" s="32">
        <f t="shared" si="24"/>
        <v>-37920.000000001397</v>
      </c>
      <c r="AS8" s="33">
        <f t="shared" si="25"/>
        <v>3993000.0000000014</v>
      </c>
      <c r="AT8" s="33">
        <f>AS8-3000000</f>
        <v>993000.0000000014</v>
      </c>
      <c r="AU8" s="33"/>
      <c r="AV8" s="37">
        <f t="shared" si="26"/>
        <v>0.61132588848480518</v>
      </c>
      <c r="AW8" s="32">
        <f t="shared" ref="AW8:AW45" si="37">AY8+BD8</f>
        <v>955080</v>
      </c>
      <c r="AX8" s="32">
        <f t="shared" ref="AX8:AX10" si="38">AX7*1.06</f>
        <v>3573048</v>
      </c>
      <c r="AY8" s="32">
        <f t="shared" si="4"/>
        <v>573048</v>
      </c>
      <c r="AZ8">
        <v>3</v>
      </c>
      <c r="BA8" s="30">
        <v>0</v>
      </c>
      <c r="BB8" s="30">
        <f t="shared" ref="BB8:BB45" si="39">BB7*1.06</f>
        <v>134832</v>
      </c>
      <c r="BC8" s="30">
        <f t="shared" ref="BC8:BC45" si="40">BB8-BA8</f>
        <v>134832</v>
      </c>
      <c r="BD8" s="32">
        <f t="shared" ref="BD8:BD45" si="41">BC8+BD7</f>
        <v>382032</v>
      </c>
    </row>
    <row r="9" spans="2:56" x14ac:dyDescent="0.25">
      <c r="B9" s="31">
        <f t="shared" si="6"/>
        <v>-185738.99360507925</v>
      </c>
      <c r="C9" s="34">
        <f t="shared" si="7"/>
        <v>-0.84210012210012086</v>
      </c>
      <c r="D9" s="32">
        <f t="shared" si="8"/>
        <v>-234491.19999999995</v>
      </c>
      <c r="E9" s="33">
        <f t="shared" si="9"/>
        <v>878460.00000000035</v>
      </c>
      <c r="F9" s="33">
        <f t="shared" si="10"/>
        <v>278460.00000000035</v>
      </c>
      <c r="G9" s="33"/>
      <c r="H9" s="34">
        <f t="shared" si="11"/>
        <v>1.7837374765114156E-2</v>
      </c>
      <c r="I9" s="32">
        <f t="shared" si="28"/>
        <v>43968.800000000396</v>
      </c>
      <c r="J9" s="32">
        <f t="shared" si="29"/>
        <v>3787430.8800000004</v>
      </c>
      <c r="K9" s="32">
        <f t="shared" si="0"/>
        <v>787430.88000000035</v>
      </c>
      <c r="L9">
        <v>4</v>
      </c>
      <c r="M9" s="30">
        <v>292104</v>
      </c>
      <c r="N9" s="30">
        <f t="shared" si="30"/>
        <v>142921.92000000001</v>
      </c>
      <c r="O9" s="30">
        <v>25000</v>
      </c>
      <c r="P9" s="30">
        <f t="shared" si="31"/>
        <v>-174182.08</v>
      </c>
      <c r="Q9" s="32">
        <f t="shared" si="32"/>
        <v>-743462.08</v>
      </c>
      <c r="S9" s="32">
        <f t="shared" si="12"/>
        <v>2999999.9999999995</v>
      </c>
      <c r="U9" s="31">
        <f t="shared" si="13"/>
        <v>-111942.7953758457</v>
      </c>
      <c r="V9" s="34">
        <f t="shared" si="14"/>
        <v>-1.0150484809308311</v>
      </c>
      <c r="W9" s="32">
        <f t="shared" si="15"/>
        <v>-141325.19999999978</v>
      </c>
      <c r="X9" s="33">
        <f t="shared" si="16"/>
        <v>439230.00000000017</v>
      </c>
      <c r="Y9" s="33">
        <f t="shared" si="17"/>
        <v>139230.00000000017</v>
      </c>
      <c r="Z9" s="33"/>
      <c r="AA9" s="37">
        <f t="shared" si="18"/>
        <v>-1.7505914934015099E-3</v>
      </c>
      <c r="AB9" s="32">
        <f t="shared" si="33"/>
        <v>-2095.1999999996042</v>
      </c>
      <c r="AC9" s="32">
        <f t="shared" si="34"/>
        <v>3787430.8800000004</v>
      </c>
      <c r="AD9" s="32">
        <f t="shared" si="2"/>
        <v>787430.88000000035</v>
      </c>
      <c r="AE9">
        <v>4</v>
      </c>
      <c r="AF9" s="30">
        <v>328620</v>
      </c>
      <c r="AG9" s="30">
        <f t="shared" si="35"/>
        <v>142921.92000000001</v>
      </c>
      <c r="AH9" s="30">
        <f t="shared" si="19"/>
        <v>-185698.08</v>
      </c>
      <c r="AI9" s="32">
        <f t="shared" si="36"/>
        <v>-789526.08</v>
      </c>
      <c r="AK9" s="32">
        <f t="shared" si="20"/>
        <v>260297.81961327826</v>
      </c>
      <c r="AM9" s="32">
        <f t="shared" si="21"/>
        <v>11516</v>
      </c>
      <c r="AP9" s="31">
        <f t="shared" si="22"/>
        <v>-63300.323516400305</v>
      </c>
      <c r="AQ9" s="34">
        <f t="shared" si="23"/>
        <v>-5.7397974574446224E-2</v>
      </c>
      <c r="AR9" s="32">
        <f t="shared" si="24"/>
        <v>-79915.200000001583</v>
      </c>
      <c r="AS9" s="33">
        <f t="shared" si="25"/>
        <v>4392300.0000000019</v>
      </c>
      <c r="AT9" s="33">
        <f>AS9-3000000</f>
        <v>1392300.0000000019</v>
      </c>
      <c r="AU9" s="33"/>
      <c r="AV9" s="37">
        <f t="shared" si="26"/>
        <v>0.52260362761453072</v>
      </c>
      <c r="AW9" s="32">
        <f t="shared" si="37"/>
        <v>1312384.8000000003</v>
      </c>
      <c r="AX9" s="32">
        <f t="shared" si="38"/>
        <v>3787430.8800000004</v>
      </c>
      <c r="AY9" s="32">
        <f t="shared" si="4"/>
        <v>787430.88000000035</v>
      </c>
      <c r="AZ9">
        <v>4</v>
      </c>
      <c r="BA9" s="30">
        <v>0</v>
      </c>
      <c r="BB9" s="30">
        <f t="shared" si="39"/>
        <v>142921.92000000001</v>
      </c>
      <c r="BC9" s="30">
        <f t="shared" si="40"/>
        <v>142921.92000000001</v>
      </c>
      <c r="BD9" s="32">
        <f t="shared" si="41"/>
        <v>524953.92000000004</v>
      </c>
    </row>
    <row r="10" spans="2:56" ht="13.8" customHeight="1" x14ac:dyDescent="0.25">
      <c r="B10" s="31">
        <f t="shared" si="6"/>
        <v>-194808.79484275071</v>
      </c>
      <c r="C10" s="34">
        <f t="shared" si="7"/>
        <v>-0.71169489989243895</v>
      </c>
      <c r="D10" s="32">
        <f t="shared" si="8"/>
        <v>-260698.11200000008</v>
      </c>
      <c r="E10" s="33">
        <f t="shared" ref="E10:E21" si="42">E9*1.1</f>
        <v>966306.00000000047</v>
      </c>
      <c r="F10" s="33">
        <f t="shared" si="10"/>
        <v>366306.00000000047</v>
      </c>
      <c r="G10" s="33"/>
      <c r="H10" s="34">
        <f t="shared" si="11"/>
        <v>3.2957457362913445E-2</v>
      </c>
      <c r="I10" s="32">
        <f t="shared" si="28"/>
        <v>105607.88800000038</v>
      </c>
      <c r="J10" s="32">
        <f t="shared" ref="J10:J21" si="43">J9*1.06</f>
        <v>4014676.7328000003</v>
      </c>
      <c r="K10" s="32">
        <f t="shared" si="0"/>
        <v>1014676.7328000003</v>
      </c>
      <c r="L10">
        <v>5</v>
      </c>
      <c r="M10" s="30">
        <v>292104</v>
      </c>
      <c r="N10" s="30">
        <f t="shared" ref="N10:N21" si="44">N9*1.06</f>
        <v>151497.23520000002</v>
      </c>
      <c r="O10" s="30">
        <v>25000</v>
      </c>
      <c r="P10" s="30">
        <f t="shared" si="31"/>
        <v>-165606.76479999998</v>
      </c>
      <c r="Q10" s="32">
        <f t="shared" si="32"/>
        <v>-909068.84479999996</v>
      </c>
      <c r="S10" s="32">
        <f t="shared" si="12"/>
        <v>2999999.9999999991</v>
      </c>
      <c r="U10" s="31">
        <f t="shared" si="13"/>
        <v>-100973.34430144119</v>
      </c>
      <c r="V10" s="34">
        <f t="shared" si="14"/>
        <v>-0.73777176459025884</v>
      </c>
      <c r="W10" s="32">
        <f t="shared" si="15"/>
        <v>-135125.11199999985</v>
      </c>
      <c r="X10" s="33">
        <f t="shared" si="16"/>
        <v>483153.00000000023</v>
      </c>
      <c r="Y10" s="33">
        <f t="shared" si="17"/>
        <v>183153.00000000023</v>
      </c>
      <c r="Z10" s="33"/>
      <c r="AA10" s="37">
        <f t="shared" si="18"/>
        <v>3.0145472769934178E-2</v>
      </c>
      <c r="AB10" s="32">
        <f t="shared" si="33"/>
        <v>48027.888000000385</v>
      </c>
      <c r="AC10" s="32">
        <f t="shared" si="34"/>
        <v>4014676.7328000003</v>
      </c>
      <c r="AD10" s="32">
        <f t="shared" si="2"/>
        <v>1014676.7328000003</v>
      </c>
      <c r="AE10">
        <v>5</v>
      </c>
      <c r="AF10" s="30">
        <v>328620</v>
      </c>
      <c r="AG10" s="30">
        <f t="shared" si="35"/>
        <v>151497.23520000002</v>
      </c>
      <c r="AH10" s="30">
        <f t="shared" si="19"/>
        <v>-177122.76479999998</v>
      </c>
      <c r="AI10" s="32">
        <f t="shared" si="36"/>
        <v>-966648.84479999996</v>
      </c>
      <c r="AK10" s="32">
        <f t="shared" si="20"/>
        <v>245563.98076724363</v>
      </c>
      <c r="AM10" s="32">
        <f>-AH10+P10</f>
        <v>11516</v>
      </c>
      <c r="AP10" s="31">
        <f t="shared" si="22"/>
        <v>-104916.62567965737</v>
      </c>
      <c r="AQ10" s="34">
        <f t="shared" si="23"/>
        <v>-7.6658374146206895E-2</v>
      </c>
      <c r="AR10" s="32">
        <f t="shared" si="24"/>
        <v>-140402.11200000253</v>
      </c>
      <c r="AS10" s="33">
        <f t="shared" si="25"/>
        <v>4831530.0000000028</v>
      </c>
      <c r="AT10" s="33">
        <f>AS10-3000000</f>
        <v>1831530.0000000028</v>
      </c>
      <c r="AU10" s="33"/>
      <c r="AV10" s="37">
        <f t="shared" si="26"/>
        <v>0.46014363654855406</v>
      </c>
      <c r="AW10" s="32">
        <f t="shared" si="37"/>
        <v>1691127.8880000003</v>
      </c>
      <c r="AX10" s="32">
        <f t="shared" si="38"/>
        <v>4014676.7328000003</v>
      </c>
      <c r="AY10" s="32">
        <f t="shared" si="4"/>
        <v>1014676.7328000003</v>
      </c>
      <c r="AZ10">
        <v>5</v>
      </c>
      <c r="BA10" s="30">
        <v>0</v>
      </c>
      <c r="BB10" s="30">
        <f t="shared" si="39"/>
        <v>151497.23520000002</v>
      </c>
      <c r="BC10" s="30">
        <f t="shared" si="40"/>
        <v>151497.23520000002</v>
      </c>
      <c r="BD10" s="32">
        <f t="shared" si="41"/>
        <v>676451.15520000004</v>
      </c>
    </row>
    <row r="11" spans="2:56" x14ac:dyDescent="0.25">
      <c r="B11" s="31">
        <f t="shared" si="6"/>
        <v>-192429.58121718842</v>
      </c>
      <c r="C11" s="34">
        <f t="shared" si="7"/>
        <v>-0.58963805998488716</v>
      </c>
      <c r="D11" s="32">
        <f t="shared" si="8"/>
        <v>-272965.03872000007</v>
      </c>
      <c r="E11" s="33">
        <f t="shared" si="42"/>
        <v>1062936.6000000006</v>
      </c>
      <c r="F11" s="33">
        <f t="shared" si="10"/>
        <v>462936.60000000056</v>
      </c>
      <c r="G11" s="33"/>
      <c r="H11" s="34">
        <f t="shared" si="11"/>
        <v>4.6911654357753019E-2</v>
      </c>
      <c r="I11" s="32">
        <f t="shared" si="28"/>
        <v>189971.56128000049</v>
      </c>
      <c r="J11" s="32">
        <f t="shared" si="43"/>
        <v>4255557.3367680004</v>
      </c>
      <c r="K11" s="32">
        <f t="shared" si="0"/>
        <v>1255557.3367680004</v>
      </c>
      <c r="L11">
        <v>6</v>
      </c>
      <c r="M11" s="30">
        <v>292104</v>
      </c>
      <c r="N11" s="30">
        <f t="shared" si="44"/>
        <v>160587.06931200004</v>
      </c>
      <c r="O11" s="30">
        <v>25000</v>
      </c>
      <c r="P11" s="30">
        <f t="shared" si="31"/>
        <v>-156516.93068799996</v>
      </c>
      <c r="Q11" s="32">
        <f t="shared" si="32"/>
        <v>-1065585.7754879999</v>
      </c>
      <c r="S11" s="32">
        <f t="shared" si="12"/>
        <v>2999999.9999999991</v>
      </c>
      <c r="U11" s="31">
        <f t="shared" ref="U11:U25" si="45">W11/(1.06)^AE11</f>
        <v>-77963.51685675497</v>
      </c>
      <c r="V11" s="34">
        <f t="shared" ref="V11:V25" si="46">(AB11-Y11)/Y11</f>
        <v>-0.47778783842106959</v>
      </c>
      <c r="W11" s="32">
        <f t="shared" ref="W11:W25" si="47">AB11-Y11</f>
        <v>-110592.73871999979</v>
      </c>
      <c r="X11" s="33">
        <f t="shared" ref="X11:X25" si="48">X10*1.1</f>
        <v>531468.30000000028</v>
      </c>
      <c r="Y11" s="33">
        <f t="shared" si="17"/>
        <v>231468.30000000028</v>
      </c>
      <c r="Z11" s="33"/>
      <c r="AA11" s="37">
        <f t="shared" si="18"/>
        <v>5.8048093507577558E-2</v>
      </c>
      <c r="AB11" s="32">
        <f t="shared" ref="AB11:AB25" si="49">AD11+AI11</f>
        <v>120875.56128000049</v>
      </c>
      <c r="AC11" s="32">
        <f t="shared" ref="AC11:AC25" si="50">AC10*1.06</f>
        <v>4255557.3367680004</v>
      </c>
      <c r="AD11" s="32">
        <f t="shared" si="2"/>
        <v>1255557.3367680004</v>
      </c>
      <c r="AE11">
        <v>6</v>
      </c>
      <c r="AF11" s="30">
        <v>328620</v>
      </c>
      <c r="AG11" s="30">
        <f t="shared" ref="AG11:AG25" si="51">AG10*1.06</f>
        <v>160587.06931200004</v>
      </c>
      <c r="AH11" s="30">
        <f t="shared" ref="AH11:AH25" si="52">AG11-AF11</f>
        <v>-168032.93068799996</v>
      </c>
      <c r="AI11" s="32">
        <f t="shared" ref="AI11:AI25" si="53">AH11+AI10</f>
        <v>-1134681.7754879999</v>
      </c>
      <c r="AM11" s="32">
        <f t="shared" si="21"/>
        <v>11516</v>
      </c>
      <c r="AP11" s="31">
        <f t="shared" ref="AP11:AP29" si="54">AR11/(1.06)^AZ11</f>
        <v>-156562.88082491697</v>
      </c>
      <c r="AQ11" s="34">
        <f t="shared" ref="AQ11:AQ29" si="55">(AW11-AT11)/AT11</f>
        <v>-9.594723714651332E-2</v>
      </c>
      <c r="AR11" s="32">
        <f t="shared" ref="AR11:AR29" si="56">AW11-AT11</f>
        <v>-222087.43872000324</v>
      </c>
      <c r="AS11" s="33">
        <f t="shared" ref="AS11:AS29" si="57">AS10*1.1</f>
        <v>5314683.0000000037</v>
      </c>
      <c r="AT11" s="33">
        <f t="shared" ref="AT11:AT45" si="58">AS11-3000000</f>
        <v>2314683.0000000037</v>
      </c>
      <c r="AW11" s="32">
        <f t="shared" si="37"/>
        <v>2092595.5612800005</v>
      </c>
      <c r="AX11" s="32">
        <f t="shared" ref="AX11:AX45" si="59">AX10*1.06</f>
        <v>4255557.3367680004</v>
      </c>
      <c r="AY11" s="32">
        <f t="shared" si="4"/>
        <v>1255557.3367680004</v>
      </c>
      <c r="AZ11">
        <v>6</v>
      </c>
      <c r="BA11" s="30">
        <v>0</v>
      </c>
      <c r="BB11" s="30">
        <f t="shared" si="39"/>
        <v>160587.06931200004</v>
      </c>
      <c r="BC11" s="30">
        <f t="shared" si="40"/>
        <v>160587.06931200004</v>
      </c>
      <c r="BD11" s="32">
        <f t="shared" si="41"/>
        <v>837038.2245120001</v>
      </c>
    </row>
    <row r="12" spans="2:56" x14ac:dyDescent="0.25">
      <c r="B12" s="31">
        <f t="shared" si="6"/>
        <v>-180102.0985204551</v>
      </c>
      <c r="C12" s="34">
        <f t="shared" si="7"/>
        <v>-0.47574239121300255</v>
      </c>
      <c r="D12" s="32">
        <f t="shared" si="8"/>
        <v>-270806.96504319948</v>
      </c>
      <c r="E12" s="33">
        <f t="shared" si="42"/>
        <v>1169230.2600000007</v>
      </c>
      <c r="F12" s="33">
        <f t="shared" si="10"/>
        <v>569230.26000000071</v>
      </c>
      <c r="G12" s="33"/>
      <c r="H12" s="34">
        <f t="shared" si="11"/>
        <v>5.9368628052153705E-2</v>
      </c>
      <c r="I12" s="32">
        <f t="shared" si="28"/>
        <v>298423.29495680123</v>
      </c>
      <c r="J12" s="32">
        <f t="shared" si="43"/>
        <v>4510890.7769740811</v>
      </c>
      <c r="K12" s="32">
        <f t="shared" si="0"/>
        <v>1510890.7769740811</v>
      </c>
      <c r="L12">
        <v>7</v>
      </c>
      <c r="M12" s="30">
        <v>292104</v>
      </c>
      <c r="N12" s="30">
        <f t="shared" si="44"/>
        <v>170222.29347072003</v>
      </c>
      <c r="O12" s="30">
        <v>25000</v>
      </c>
      <c r="P12" s="30">
        <f t="shared" si="31"/>
        <v>-146881.70652927997</v>
      </c>
      <c r="Q12" s="32">
        <f t="shared" si="32"/>
        <v>-1212467.4820172798</v>
      </c>
      <c r="S12" s="32">
        <f t="shared" si="12"/>
        <v>2999999.9999999991</v>
      </c>
      <c r="U12" s="31">
        <f t="shared" si="45"/>
        <v>-44428.365712732673</v>
      </c>
      <c r="V12" s="34">
        <f t="shared" si="46"/>
        <v>-0.23471638715481866</v>
      </c>
      <c r="W12" s="32">
        <f t="shared" si="47"/>
        <v>-66803.835043199128</v>
      </c>
      <c r="X12" s="33">
        <f t="shared" si="48"/>
        <v>584615.13000000035</v>
      </c>
      <c r="Y12" s="33">
        <f t="shared" si="17"/>
        <v>284615.13000000035</v>
      </c>
      <c r="Z12" s="33"/>
      <c r="AA12" s="37">
        <f t="shared" si="18"/>
        <v>8.1096156938074371E-2</v>
      </c>
      <c r="AB12" s="32">
        <f t="shared" si="49"/>
        <v>217811.29495680123</v>
      </c>
      <c r="AC12" s="32">
        <f t="shared" si="50"/>
        <v>4510890.7769740811</v>
      </c>
      <c r="AD12" s="32">
        <f t="shared" si="2"/>
        <v>1510890.7769740811</v>
      </c>
      <c r="AE12">
        <v>7</v>
      </c>
      <c r="AF12" s="30">
        <v>328620</v>
      </c>
      <c r="AG12" s="30">
        <f t="shared" si="51"/>
        <v>170222.29347072003</v>
      </c>
      <c r="AH12" s="30">
        <f t="shared" si="52"/>
        <v>-158397.70652927997</v>
      </c>
      <c r="AI12" s="32">
        <f t="shared" si="53"/>
        <v>-1293079.4820172798</v>
      </c>
      <c r="AM12" s="32">
        <f t="shared" si="21"/>
        <v>11516</v>
      </c>
      <c r="AP12" s="31">
        <f t="shared" si="54"/>
        <v>-218138.73662214426</v>
      </c>
      <c r="AQ12" s="34">
        <f t="shared" si="55"/>
        <v>-0.11524334811125554</v>
      </c>
      <c r="AR12" s="32">
        <f t="shared" si="56"/>
        <v>-328000.00504320301</v>
      </c>
      <c r="AS12" s="33">
        <f t="shared" si="57"/>
        <v>5846151.3000000045</v>
      </c>
      <c r="AT12" s="33">
        <f t="shared" si="58"/>
        <v>2846151.3000000045</v>
      </c>
      <c r="AW12" s="32">
        <f t="shared" si="37"/>
        <v>2518151.2949568015</v>
      </c>
      <c r="AX12" s="32">
        <f t="shared" si="59"/>
        <v>4510890.7769740811</v>
      </c>
      <c r="AY12" s="32">
        <f t="shared" si="4"/>
        <v>1510890.7769740811</v>
      </c>
      <c r="AZ12">
        <v>7</v>
      </c>
      <c r="BA12" s="30">
        <v>0</v>
      </c>
      <c r="BB12" s="30">
        <f t="shared" si="39"/>
        <v>170222.29347072003</v>
      </c>
      <c r="BC12" s="30">
        <f t="shared" si="40"/>
        <v>170222.29347072003</v>
      </c>
      <c r="BD12" s="32">
        <f t="shared" si="41"/>
        <v>1007260.5179827202</v>
      </c>
    </row>
    <row r="13" spans="2:56" x14ac:dyDescent="0.25">
      <c r="B13" s="31">
        <f t="shared" si="6"/>
        <v>-159202.69779820912</v>
      </c>
      <c r="C13" s="34">
        <f t="shared" si="7"/>
        <v>-0.36980791103548089</v>
      </c>
      <c r="D13" s="32">
        <f t="shared" si="8"/>
        <v>-253744.91334579117</v>
      </c>
      <c r="E13" s="33">
        <f t="shared" si="42"/>
        <v>1286153.2860000008</v>
      </c>
      <c r="F13" s="33">
        <f t="shared" si="10"/>
        <v>686153.28600000078</v>
      </c>
      <c r="G13" s="33"/>
      <c r="H13" s="34">
        <f t="shared" si="11"/>
        <v>7.0194053360397524E-2</v>
      </c>
      <c r="I13" s="32">
        <f t="shared" si="28"/>
        <v>432408.37265420961</v>
      </c>
      <c r="J13" s="32">
        <f t="shared" si="43"/>
        <v>4781544.2235925263</v>
      </c>
      <c r="K13" s="32">
        <f t="shared" si="0"/>
        <v>1781544.2235925263</v>
      </c>
      <c r="L13">
        <v>8</v>
      </c>
      <c r="M13" s="30">
        <v>292104</v>
      </c>
      <c r="N13" s="30">
        <f t="shared" si="44"/>
        <v>180435.63107896326</v>
      </c>
      <c r="O13" s="30">
        <v>25000</v>
      </c>
      <c r="P13" s="30">
        <f t="shared" si="31"/>
        <v>-136668.36892103674</v>
      </c>
      <c r="Q13" s="32">
        <f t="shared" si="32"/>
        <v>-1349135.8509383167</v>
      </c>
      <c r="S13" s="32">
        <f t="shared" si="12"/>
        <v>2999999.9999999995</v>
      </c>
      <c r="U13" s="31">
        <f t="shared" si="45"/>
        <v>-1754.4146085654208</v>
      </c>
      <c r="V13" s="34">
        <f t="shared" si="46"/>
        <v>-8.1505704420419389E-3</v>
      </c>
      <c r="W13" s="32">
        <f t="shared" si="47"/>
        <v>-2796.2703457907774</v>
      </c>
      <c r="X13" s="33">
        <f t="shared" si="48"/>
        <v>643076.64300000039</v>
      </c>
      <c r="Y13" s="33">
        <f t="shared" si="17"/>
        <v>343076.64300000039</v>
      </c>
      <c r="Z13" s="33"/>
      <c r="AA13" s="37">
        <f t="shared" si="18"/>
        <v>9.9400972486286765E-2</v>
      </c>
      <c r="AB13" s="32">
        <f t="shared" si="49"/>
        <v>340280.37265420961</v>
      </c>
      <c r="AC13" s="32">
        <f t="shared" si="50"/>
        <v>4781544.2235925263</v>
      </c>
      <c r="AD13" s="32">
        <f t="shared" si="2"/>
        <v>1781544.2235925263</v>
      </c>
      <c r="AE13">
        <v>8</v>
      </c>
      <c r="AF13" s="30">
        <v>328620</v>
      </c>
      <c r="AG13" s="30">
        <f t="shared" si="51"/>
        <v>180435.63107896326</v>
      </c>
      <c r="AH13" s="30">
        <f t="shared" si="52"/>
        <v>-148184.36892103674</v>
      </c>
      <c r="AI13" s="32">
        <f t="shared" si="53"/>
        <v>-1441263.8509383167</v>
      </c>
      <c r="AM13" s="32">
        <f t="shared" si="21"/>
        <v>11516</v>
      </c>
      <c r="AP13" s="31">
        <f t="shared" si="54"/>
        <v>-289567.15807536931</v>
      </c>
      <c r="AQ13" s="34">
        <f t="shared" si="55"/>
        <v>-0.13452564223260011</v>
      </c>
      <c r="AR13" s="32">
        <f t="shared" si="56"/>
        <v>-461526.05734579545</v>
      </c>
      <c r="AS13" s="33">
        <f t="shared" si="57"/>
        <v>6430766.4300000053</v>
      </c>
      <c r="AT13" s="33">
        <f t="shared" si="58"/>
        <v>3430766.4300000053</v>
      </c>
      <c r="AW13" s="32">
        <f t="shared" si="37"/>
        <v>2969240.3726542098</v>
      </c>
      <c r="AX13" s="32">
        <f t="shared" si="59"/>
        <v>4781544.2235925263</v>
      </c>
      <c r="AY13" s="32">
        <f t="shared" si="4"/>
        <v>1781544.2235925263</v>
      </c>
      <c r="AZ13">
        <v>8</v>
      </c>
      <c r="BA13" s="30">
        <v>0</v>
      </c>
      <c r="BB13" s="30">
        <f t="shared" si="39"/>
        <v>180435.63107896326</v>
      </c>
      <c r="BC13" s="30">
        <f t="shared" si="40"/>
        <v>180435.63107896326</v>
      </c>
      <c r="BD13" s="32">
        <f t="shared" si="41"/>
        <v>1187696.1490616833</v>
      </c>
    </row>
    <row r="14" spans="2:56" x14ac:dyDescent="0.25">
      <c r="B14" s="31">
        <f t="shared" si="6"/>
        <v>-130992.9421773793</v>
      </c>
      <c r="C14" s="34">
        <f t="shared" si="7"/>
        <v>-0.27162290694663987</v>
      </c>
      <c r="D14" s="32">
        <f t="shared" si="8"/>
        <v>-221309.81958653871</v>
      </c>
      <c r="E14" s="33">
        <f t="shared" si="42"/>
        <v>1414768.6146000009</v>
      </c>
      <c r="F14" s="33">
        <f t="shared" si="10"/>
        <v>814768.6146000009</v>
      </c>
      <c r="G14" s="33"/>
      <c r="H14" s="34">
        <f t="shared" si="11"/>
        <v>7.9403991946241259E-2</v>
      </c>
      <c r="I14" s="32">
        <f t="shared" si="28"/>
        <v>593458.79501346219</v>
      </c>
      <c r="J14" s="32">
        <f t="shared" si="43"/>
        <v>5068436.8770080777</v>
      </c>
      <c r="K14" s="32">
        <f t="shared" si="0"/>
        <v>2068436.8770080777</v>
      </c>
      <c r="L14">
        <v>9</v>
      </c>
      <c r="M14" s="30">
        <v>292104</v>
      </c>
      <c r="N14" s="30">
        <f t="shared" si="44"/>
        <v>191261.76894370106</v>
      </c>
      <c r="O14" s="30">
        <v>25000</v>
      </c>
      <c r="P14" s="30">
        <f t="shared" si="31"/>
        <v>-125842.23105629894</v>
      </c>
      <c r="Q14" s="32">
        <f t="shared" si="32"/>
        <v>-1474978.0819946155</v>
      </c>
      <c r="S14" s="32">
        <f t="shared" si="12"/>
        <v>2999999.9999999995</v>
      </c>
      <c r="U14" s="31">
        <f t="shared" si="45"/>
        <v>48790.479025628607</v>
      </c>
      <c r="V14" s="34">
        <f t="shared" si="46"/>
        <v>0.20234085171267874</v>
      </c>
      <c r="W14" s="32">
        <f t="shared" si="47"/>
        <v>82430.487713461742</v>
      </c>
      <c r="X14" s="33">
        <f t="shared" si="48"/>
        <v>707384.30730000045</v>
      </c>
      <c r="Y14" s="33">
        <f t="shared" si="17"/>
        <v>407384.30730000045</v>
      </c>
      <c r="Z14" s="33"/>
      <c r="AA14" s="37">
        <f t="shared" si="18"/>
        <v>0.11355470353946728</v>
      </c>
      <c r="AB14" s="32">
        <f t="shared" si="49"/>
        <v>489814.79501346219</v>
      </c>
      <c r="AC14" s="32">
        <f t="shared" si="50"/>
        <v>5068436.8770080777</v>
      </c>
      <c r="AD14" s="32">
        <f t="shared" si="2"/>
        <v>2068436.8770080777</v>
      </c>
      <c r="AE14">
        <v>9</v>
      </c>
      <c r="AF14" s="30">
        <v>328620</v>
      </c>
      <c r="AG14" s="30">
        <f t="shared" si="51"/>
        <v>191261.76894370106</v>
      </c>
      <c r="AH14" s="30">
        <f t="shared" si="52"/>
        <v>-137358.23105629894</v>
      </c>
      <c r="AI14" s="32">
        <f t="shared" si="53"/>
        <v>-1578622.0819946155</v>
      </c>
      <c r="AM14" s="32">
        <f t="shared" si="21"/>
        <v>11516</v>
      </c>
      <c r="AP14" s="31">
        <f t="shared" si="54"/>
        <v>-370793.77322126547</v>
      </c>
      <c r="AQ14" s="34">
        <f t="shared" si="55"/>
        <v>-0.15377329631041073</v>
      </c>
      <c r="AR14" s="32">
        <f t="shared" si="56"/>
        <v>-626448.27798654418</v>
      </c>
      <c r="AS14" s="33">
        <f t="shared" si="57"/>
        <v>7073843.0730000064</v>
      </c>
      <c r="AT14" s="33">
        <f t="shared" si="58"/>
        <v>4073843.0730000064</v>
      </c>
      <c r="AW14" s="32">
        <f t="shared" si="37"/>
        <v>3447394.7950134622</v>
      </c>
      <c r="AX14" s="32">
        <f t="shared" si="59"/>
        <v>5068436.8770080777</v>
      </c>
      <c r="AY14" s="32">
        <f t="shared" si="4"/>
        <v>2068436.8770080777</v>
      </c>
      <c r="AZ14">
        <v>9</v>
      </c>
      <c r="BA14" s="30">
        <v>0</v>
      </c>
      <c r="BB14" s="30">
        <f t="shared" si="39"/>
        <v>191261.76894370106</v>
      </c>
      <c r="BC14" s="30">
        <f t="shared" si="40"/>
        <v>191261.76894370106</v>
      </c>
      <c r="BD14" s="32">
        <f t="shared" si="41"/>
        <v>1378957.9180053845</v>
      </c>
    </row>
    <row r="15" spans="2:56" x14ac:dyDescent="0.25">
      <c r="B15" s="31">
        <f t="shared" si="6"/>
        <v>-96628.53724512145</v>
      </c>
      <c r="C15" s="34">
        <f t="shared" si="7"/>
        <v>-0.18096503217848744</v>
      </c>
      <c r="D15" s="32">
        <f t="shared" si="8"/>
        <v>-173046.99334573117</v>
      </c>
      <c r="E15" s="33">
        <f t="shared" si="42"/>
        <v>1556245.4760600012</v>
      </c>
      <c r="F15" s="33">
        <f t="shared" si="10"/>
        <v>956245.47606000118</v>
      </c>
      <c r="G15" s="33"/>
      <c r="H15" s="34">
        <f t="shared" si="11"/>
        <v>8.710958608303887E-2</v>
      </c>
      <c r="I15" s="32">
        <f t="shared" si="28"/>
        <v>783198.48271427001</v>
      </c>
      <c r="J15" s="32">
        <f t="shared" si="43"/>
        <v>5372543.0896285623</v>
      </c>
      <c r="K15" s="32">
        <f t="shared" si="0"/>
        <v>2372543.0896285623</v>
      </c>
      <c r="L15">
        <v>10</v>
      </c>
      <c r="M15" s="30">
        <v>292104</v>
      </c>
      <c r="N15" s="30">
        <f t="shared" si="44"/>
        <v>202737.47508032314</v>
      </c>
      <c r="O15" s="30">
        <v>25000</v>
      </c>
      <c r="P15" s="30">
        <f t="shared" si="31"/>
        <v>-114366.52491967686</v>
      </c>
      <c r="Q15" s="32">
        <f t="shared" si="32"/>
        <v>-1589344.6069142923</v>
      </c>
      <c r="S15" s="32">
        <f t="shared" si="12"/>
        <v>2999999.9999999991</v>
      </c>
      <c r="U15" s="31">
        <f t="shared" si="45"/>
        <v>106047.9598856411</v>
      </c>
      <c r="V15" s="34">
        <f t="shared" si="46"/>
        <v>0.39721127982069082</v>
      </c>
      <c r="W15" s="32">
        <f t="shared" si="47"/>
        <v>189915.74468426942</v>
      </c>
      <c r="X15" s="33">
        <f t="shared" si="48"/>
        <v>778122.73803000059</v>
      </c>
      <c r="Y15" s="33">
        <f t="shared" si="17"/>
        <v>478122.73803000059</v>
      </c>
      <c r="Z15" s="33"/>
      <c r="AA15" s="37">
        <f t="shared" si="18"/>
        <v>0.124286864763411</v>
      </c>
      <c r="AB15" s="32">
        <f t="shared" si="49"/>
        <v>668038.48271427001</v>
      </c>
      <c r="AC15" s="32">
        <f t="shared" si="50"/>
        <v>5372543.0896285623</v>
      </c>
      <c r="AD15" s="32">
        <f t="shared" si="2"/>
        <v>2372543.0896285623</v>
      </c>
      <c r="AE15">
        <v>10</v>
      </c>
      <c r="AF15" s="30">
        <v>328620</v>
      </c>
      <c r="AG15" s="30">
        <f t="shared" si="51"/>
        <v>202737.47508032314</v>
      </c>
      <c r="AH15" s="30">
        <f t="shared" si="52"/>
        <v>-125882.52491967686</v>
      </c>
      <c r="AI15" s="32">
        <f t="shared" si="53"/>
        <v>-1704504.6069142923</v>
      </c>
      <c r="AM15" s="32">
        <f t="shared" si="21"/>
        <v>11516</v>
      </c>
      <c r="AP15" s="31">
        <f t="shared" si="54"/>
        <v>-461786.28097866714</v>
      </c>
      <c r="AQ15" s="34">
        <f t="shared" si="55"/>
        <v>-0.17296581647489989</v>
      </c>
      <c r="AR15" s="32">
        <f t="shared" si="56"/>
        <v>-826988.89758573752</v>
      </c>
      <c r="AS15" s="33">
        <f t="shared" si="57"/>
        <v>7781227.3803000078</v>
      </c>
      <c r="AT15" s="33">
        <f t="shared" si="58"/>
        <v>4781227.3803000078</v>
      </c>
      <c r="AW15" s="32">
        <f t="shared" si="37"/>
        <v>3954238.4827142702</v>
      </c>
      <c r="AX15" s="32">
        <f t="shared" si="59"/>
        <v>5372543.0896285623</v>
      </c>
      <c r="AY15" s="32">
        <f t="shared" si="4"/>
        <v>2372543.0896285623</v>
      </c>
      <c r="AZ15">
        <v>10</v>
      </c>
      <c r="BA15" s="30">
        <v>0</v>
      </c>
      <c r="BB15" s="30">
        <f t="shared" si="39"/>
        <v>202737.47508032314</v>
      </c>
      <c r="BC15" s="30">
        <f t="shared" si="40"/>
        <v>202737.47508032314</v>
      </c>
      <c r="BD15" s="32">
        <f t="shared" si="41"/>
        <v>1581695.3930857077</v>
      </c>
    </row>
    <row r="16" spans="2:56" x14ac:dyDescent="0.25">
      <c r="B16" s="31">
        <f t="shared" si="6"/>
        <v>-57167.631251869534</v>
      </c>
      <c r="C16" s="34">
        <f t="shared" si="7"/>
        <v>-9.7602444241696978E-2</v>
      </c>
      <c r="D16" s="32">
        <f t="shared" si="8"/>
        <v>-108521.2319888752</v>
      </c>
      <c r="E16" s="33">
        <f t="shared" si="42"/>
        <v>1711870.0236660014</v>
      </c>
      <c r="F16" s="33">
        <f t="shared" si="10"/>
        <v>1111870.0236660014</v>
      </c>
      <c r="G16" s="33"/>
      <c r="H16" s="34">
        <f t="shared" si="11"/>
        <v>9.3470265958846444E-2</v>
      </c>
      <c r="I16" s="32">
        <f t="shared" si="28"/>
        <v>1003348.7916771262</v>
      </c>
      <c r="J16" s="32">
        <f t="shared" si="43"/>
        <v>5694895.675006276</v>
      </c>
      <c r="K16" s="32">
        <f t="shared" si="0"/>
        <v>2694895.675006276</v>
      </c>
      <c r="L16">
        <v>11</v>
      </c>
      <c r="M16" s="30">
        <v>292104</v>
      </c>
      <c r="N16" s="30">
        <f t="shared" si="44"/>
        <v>214901.72358514255</v>
      </c>
      <c r="O16" s="30">
        <v>25000</v>
      </c>
      <c r="P16" s="30">
        <f t="shared" si="31"/>
        <v>-102202.27641485745</v>
      </c>
      <c r="Q16" s="32">
        <f t="shared" si="32"/>
        <v>-1691546.8833291498</v>
      </c>
      <c r="S16" s="32">
        <f t="shared" si="12"/>
        <v>2999999.9999999986</v>
      </c>
      <c r="U16" s="31">
        <f t="shared" si="45"/>
        <v>168960.66134368925</v>
      </c>
      <c r="V16" s="34">
        <f t="shared" si="46"/>
        <v>0.5769339455462702</v>
      </c>
      <c r="W16" s="32">
        <f t="shared" si="47"/>
        <v>320737.7798441255</v>
      </c>
      <c r="X16" s="33">
        <f t="shared" si="48"/>
        <v>855935.0118330007</v>
      </c>
      <c r="Y16" s="33">
        <f t="shared" si="17"/>
        <v>555935.0118330007</v>
      </c>
      <c r="Z16" s="33"/>
      <c r="AA16" s="37">
        <f t="shared" si="18"/>
        <v>0.13229001586157851</v>
      </c>
      <c r="AB16" s="32">
        <f t="shared" si="49"/>
        <v>876672.7916771262</v>
      </c>
      <c r="AC16" s="32">
        <f t="shared" si="50"/>
        <v>5694895.675006276</v>
      </c>
      <c r="AD16" s="32">
        <f t="shared" si="2"/>
        <v>2694895.675006276</v>
      </c>
      <c r="AE16">
        <v>11</v>
      </c>
      <c r="AF16" s="30">
        <v>328620</v>
      </c>
      <c r="AG16" s="30">
        <f t="shared" si="51"/>
        <v>214901.72358514255</v>
      </c>
      <c r="AH16" s="30">
        <f t="shared" si="52"/>
        <v>-113718.27641485745</v>
      </c>
      <c r="AI16" s="32">
        <f t="shared" si="53"/>
        <v>-1818222.8833291498</v>
      </c>
      <c r="AM16" s="32">
        <f t="shared" si="21"/>
        <v>11516</v>
      </c>
      <c r="AP16" s="31">
        <f t="shared" si="54"/>
        <v>-562533.9185787834</v>
      </c>
      <c r="AQ16" s="34">
        <f t="shared" si="55"/>
        <v>-0.19208312193398239</v>
      </c>
      <c r="AR16" s="32">
        <f t="shared" si="56"/>
        <v>-1067857.3266528826</v>
      </c>
      <c r="AS16" s="33">
        <f t="shared" si="57"/>
        <v>8559350.1183300093</v>
      </c>
      <c r="AT16" s="33">
        <f t="shared" si="58"/>
        <v>5559350.1183300093</v>
      </c>
      <c r="AW16" s="32">
        <f t="shared" si="37"/>
        <v>4491492.7916771267</v>
      </c>
      <c r="AX16" s="32">
        <f t="shared" si="59"/>
        <v>5694895.675006276</v>
      </c>
      <c r="AY16" s="32">
        <f t="shared" si="4"/>
        <v>2694895.675006276</v>
      </c>
      <c r="AZ16">
        <v>11</v>
      </c>
      <c r="BA16" s="30">
        <v>0</v>
      </c>
      <c r="BB16" s="30">
        <f t="shared" si="39"/>
        <v>214901.72358514255</v>
      </c>
      <c r="BC16" s="30">
        <f t="shared" si="40"/>
        <v>214901.72358514255</v>
      </c>
      <c r="BD16" s="32">
        <f t="shared" si="41"/>
        <v>1796597.1166708502</v>
      </c>
    </row>
    <row r="17" spans="2:56" x14ac:dyDescent="0.25">
      <c r="B17" s="31">
        <f t="shared" si="6"/>
        <v>-13578.528358080177</v>
      </c>
      <c r="C17" s="34">
        <f t="shared" si="7"/>
        <v>-2.1294974658557123E-2</v>
      </c>
      <c r="D17" s="32">
        <f t="shared" si="8"/>
        <v>-27322.666854847921</v>
      </c>
      <c r="E17" s="33">
        <f t="shared" si="42"/>
        <v>1883057.0260326017</v>
      </c>
      <c r="F17" s="33">
        <f t="shared" si="10"/>
        <v>1283057.0260326017</v>
      </c>
      <c r="G17" s="33"/>
      <c r="H17" s="34">
        <f t="shared" si="11"/>
        <v>9.8661012383527202E-2</v>
      </c>
      <c r="I17" s="32">
        <f t="shared" si="28"/>
        <v>1255734.3591777538</v>
      </c>
      <c r="J17" s="32">
        <f t="shared" si="43"/>
        <v>6036589.4155066526</v>
      </c>
      <c r="K17" s="32">
        <f t="shared" si="0"/>
        <v>3036589.4155066526</v>
      </c>
      <c r="L17">
        <v>12</v>
      </c>
      <c r="M17" s="30">
        <v>292104</v>
      </c>
      <c r="N17" s="30">
        <f t="shared" si="44"/>
        <v>227795.82700025113</v>
      </c>
      <c r="O17" s="30">
        <v>25000</v>
      </c>
      <c r="P17" s="30">
        <f t="shared" si="31"/>
        <v>-89308.172999748873</v>
      </c>
      <c r="Q17" s="32">
        <f t="shared" si="32"/>
        <v>-1780855.0563288988</v>
      </c>
      <c r="S17" s="32">
        <f t="shared" si="12"/>
        <v>2999999.9999999986</v>
      </c>
      <c r="U17" s="31">
        <f t="shared" si="45"/>
        <v>236564.29818069749</v>
      </c>
      <c r="V17" s="34">
        <f t="shared" si="46"/>
        <v>0.74199951600492264</v>
      </c>
      <c r="W17" s="32">
        <f t="shared" si="47"/>
        <v>476013.84616145294</v>
      </c>
      <c r="X17" s="33">
        <f t="shared" si="48"/>
        <v>941528.51301630086</v>
      </c>
      <c r="Y17" s="33">
        <f t="shared" si="17"/>
        <v>641528.51301630086</v>
      </c>
      <c r="Z17" s="33"/>
      <c r="AA17" s="37">
        <f t="shared" si="18"/>
        <v>0.13815453335360806</v>
      </c>
      <c r="AB17" s="32">
        <f t="shared" si="49"/>
        <v>1117542.3591777538</v>
      </c>
      <c r="AC17" s="32">
        <f t="shared" si="50"/>
        <v>6036589.4155066526</v>
      </c>
      <c r="AD17" s="32">
        <f t="shared" si="2"/>
        <v>3036589.4155066526</v>
      </c>
      <c r="AE17">
        <v>12</v>
      </c>
      <c r="AF17" s="30">
        <v>328620</v>
      </c>
      <c r="AG17" s="30">
        <f t="shared" si="51"/>
        <v>227795.82700025113</v>
      </c>
      <c r="AH17" s="30">
        <f t="shared" si="52"/>
        <v>-100824.17299974887</v>
      </c>
      <c r="AI17" s="32">
        <f t="shared" si="53"/>
        <v>-1919047.0563288988</v>
      </c>
      <c r="AM17" s="32">
        <f t="shared" si="21"/>
        <v>11516</v>
      </c>
      <c r="AP17" s="31">
        <f t="shared" si="54"/>
        <v>-673046.98618711135</v>
      </c>
      <c r="AQ17" s="34">
        <f t="shared" si="55"/>
        <v>-0.21110562406925232</v>
      </c>
      <c r="AR17" s="32">
        <f t="shared" si="56"/>
        <v>-1354302.7709852569</v>
      </c>
      <c r="AS17" s="33">
        <f t="shared" si="57"/>
        <v>9415285.1301630102</v>
      </c>
      <c r="AT17" s="33">
        <f t="shared" si="58"/>
        <v>6415285.1301630102</v>
      </c>
      <c r="AW17" s="32">
        <f t="shared" si="37"/>
        <v>5060982.3591777533</v>
      </c>
      <c r="AX17" s="32">
        <f t="shared" si="59"/>
        <v>6036589.4155066526</v>
      </c>
      <c r="AY17" s="32">
        <f t="shared" si="4"/>
        <v>3036589.4155066526</v>
      </c>
      <c r="AZ17">
        <v>12</v>
      </c>
      <c r="BA17" s="30">
        <v>0</v>
      </c>
      <c r="BB17" s="30">
        <f t="shared" si="39"/>
        <v>227795.82700025113</v>
      </c>
      <c r="BC17" s="30">
        <f t="shared" si="40"/>
        <v>227795.82700025113</v>
      </c>
      <c r="BD17" s="32">
        <f t="shared" si="41"/>
        <v>2024392.9436711012</v>
      </c>
    </row>
    <row r="18" spans="2:56" x14ac:dyDescent="0.25">
      <c r="B18" s="31">
        <f t="shared" si="6"/>
        <v>33253.144710883666</v>
      </c>
      <c r="C18" s="34">
        <f t="shared" si="7"/>
        <v>4.820468176349392E-2</v>
      </c>
      <c r="D18" s="32">
        <f t="shared" si="8"/>
        <v>70926.572092557792</v>
      </c>
      <c r="E18" s="33">
        <f t="shared" si="42"/>
        <v>2071362.728635862</v>
      </c>
      <c r="F18" s="33">
        <f t="shared" si="10"/>
        <v>1471362.728635862</v>
      </c>
      <c r="G18" s="33"/>
      <c r="H18" s="34">
        <f t="shared" si="11"/>
        <v>0.10285254929235665</v>
      </c>
      <c r="I18" s="32">
        <f t="shared" si="28"/>
        <v>1542289.3007284198</v>
      </c>
      <c r="J18" s="32">
        <f t="shared" si="43"/>
        <v>6398784.7804370522</v>
      </c>
      <c r="K18" s="32">
        <f t="shared" si="0"/>
        <v>3398784.7804370522</v>
      </c>
      <c r="L18">
        <v>13</v>
      </c>
      <c r="M18" s="30">
        <v>292104</v>
      </c>
      <c r="N18" s="30">
        <f t="shared" si="44"/>
        <v>241463.57662026622</v>
      </c>
      <c r="O18" s="30">
        <v>25000</v>
      </c>
      <c r="P18" s="30">
        <f t="shared" si="31"/>
        <v>-75640.42337973378</v>
      </c>
      <c r="Q18" s="32">
        <f t="shared" si="32"/>
        <v>-1856495.4797086325</v>
      </c>
      <c r="S18" s="32">
        <f t="shared" si="12"/>
        <v>2999999.9999999986</v>
      </c>
      <c r="U18" s="31">
        <f t="shared" si="45"/>
        <v>307980.32389782328</v>
      </c>
      <c r="V18" s="34">
        <f t="shared" si="46"/>
        <v>0.89291365565514569</v>
      </c>
      <c r="W18" s="32">
        <f t="shared" si="47"/>
        <v>656899.93641048879</v>
      </c>
      <c r="X18" s="33">
        <f t="shared" si="48"/>
        <v>1035681.364317931</v>
      </c>
      <c r="Y18" s="33">
        <f t="shared" si="17"/>
        <v>735681.364317931</v>
      </c>
      <c r="Z18" s="33"/>
      <c r="AA18" s="37">
        <f t="shared" si="18"/>
        <v>0.14235786388176352</v>
      </c>
      <c r="AB18" s="32">
        <f t="shared" si="49"/>
        <v>1392581.3007284198</v>
      </c>
      <c r="AC18" s="32">
        <f t="shared" si="50"/>
        <v>6398784.7804370522</v>
      </c>
      <c r="AD18" s="32">
        <f t="shared" si="2"/>
        <v>3398784.7804370522</v>
      </c>
      <c r="AE18">
        <v>13</v>
      </c>
      <c r="AF18" s="30">
        <v>328620</v>
      </c>
      <c r="AG18" s="30">
        <f t="shared" si="51"/>
        <v>241463.57662026622</v>
      </c>
      <c r="AH18" s="30">
        <f t="shared" si="52"/>
        <v>-87156.42337973378</v>
      </c>
      <c r="AI18" s="32">
        <f t="shared" si="53"/>
        <v>-2006203.4797086325</v>
      </c>
      <c r="AM18" s="32">
        <f t="shared" si="21"/>
        <v>11516</v>
      </c>
      <c r="AP18" s="31">
        <f t="shared" si="54"/>
        <v>-793356.4265003982</v>
      </c>
      <c r="AQ18" s="34">
        <f t="shared" si="55"/>
        <v>-0.23001430028335001</v>
      </c>
      <c r="AR18" s="32">
        <f t="shared" si="56"/>
        <v>-1692172.3424508926</v>
      </c>
      <c r="AS18" s="33">
        <f t="shared" si="57"/>
        <v>10356813.643179312</v>
      </c>
      <c r="AT18" s="33">
        <f t="shared" si="58"/>
        <v>7356813.6431793123</v>
      </c>
      <c r="AW18" s="32">
        <f t="shared" si="37"/>
        <v>5664641.3007284198</v>
      </c>
      <c r="AX18" s="32">
        <f t="shared" si="59"/>
        <v>6398784.7804370522</v>
      </c>
      <c r="AY18" s="32">
        <f t="shared" si="4"/>
        <v>3398784.7804370522</v>
      </c>
      <c r="AZ18">
        <v>13</v>
      </c>
      <c r="BA18" s="30">
        <v>0</v>
      </c>
      <c r="BB18" s="30">
        <f t="shared" si="39"/>
        <v>241463.57662026622</v>
      </c>
      <c r="BC18" s="30">
        <f t="shared" si="40"/>
        <v>241463.57662026622</v>
      </c>
      <c r="BD18" s="32">
        <f t="shared" si="41"/>
        <v>2265856.5202913675</v>
      </c>
    </row>
    <row r="19" spans="2:56" x14ac:dyDescent="0.25">
      <c r="B19" s="31">
        <f t="shared" si="6"/>
        <v>82517.780906984146</v>
      </c>
      <c r="C19" s="34">
        <f t="shared" si="7"/>
        <v>0.11114976958938562</v>
      </c>
      <c r="D19" s="32">
        <f t="shared" si="8"/>
        <v>186564.77727267751</v>
      </c>
      <c r="E19" s="33">
        <f t="shared" si="42"/>
        <v>2278499.0014994484</v>
      </c>
      <c r="F19" s="33">
        <f t="shared" si="10"/>
        <v>1678499.0014994484</v>
      </c>
      <c r="G19" s="33"/>
      <c r="H19" s="34">
        <f t="shared" si="11"/>
        <v>0.10620104651065287</v>
      </c>
      <c r="I19" s="32">
        <f t="shared" si="28"/>
        <v>1865063.778772126</v>
      </c>
      <c r="J19" s="32">
        <f t="shared" si="43"/>
        <v>6782711.8672632761</v>
      </c>
      <c r="K19" s="32">
        <f t="shared" si="0"/>
        <v>3782711.8672632761</v>
      </c>
      <c r="L19">
        <v>14</v>
      </c>
      <c r="M19" s="30">
        <v>292104</v>
      </c>
      <c r="N19" s="30">
        <f t="shared" si="44"/>
        <v>255951.39121748222</v>
      </c>
      <c r="O19" s="30">
        <v>25000</v>
      </c>
      <c r="P19" s="30">
        <f t="shared" si="31"/>
        <v>-61152.608782517782</v>
      </c>
      <c r="Q19" s="32">
        <f t="shared" si="32"/>
        <v>-1917648.0884911502</v>
      </c>
      <c r="S19" s="32">
        <f t="shared" si="12"/>
        <v>2999999.9999999991</v>
      </c>
      <c r="U19" s="31">
        <f t="shared" si="45"/>
        <v>382409.11376259779</v>
      </c>
      <c r="V19" s="34">
        <f t="shared" si="46"/>
        <v>1.0301945693742325</v>
      </c>
      <c r="W19" s="32">
        <f t="shared" si="47"/>
        <v>864590.27802240173</v>
      </c>
      <c r="X19" s="33">
        <f t="shared" si="48"/>
        <v>1139249.5007497242</v>
      </c>
      <c r="Y19" s="33">
        <f t="shared" si="17"/>
        <v>839249.50074972422</v>
      </c>
      <c r="Z19" s="33"/>
      <c r="AA19" s="37">
        <f t="shared" si="18"/>
        <v>0.14527590590147943</v>
      </c>
      <c r="AB19" s="32">
        <f t="shared" si="49"/>
        <v>1703839.778772126</v>
      </c>
      <c r="AC19" s="32">
        <f t="shared" si="50"/>
        <v>6782711.8672632761</v>
      </c>
      <c r="AD19" s="32">
        <f t="shared" si="2"/>
        <v>3782711.8672632761</v>
      </c>
      <c r="AE19">
        <v>14</v>
      </c>
      <c r="AF19" s="30">
        <v>328620</v>
      </c>
      <c r="AG19" s="30">
        <f t="shared" si="51"/>
        <v>255951.39121748222</v>
      </c>
      <c r="AH19" s="30">
        <f t="shared" si="52"/>
        <v>-72668.608782517782</v>
      </c>
      <c r="AI19" s="32">
        <f t="shared" si="53"/>
        <v>-2078872.0884911502</v>
      </c>
      <c r="AM19" s="32">
        <f t="shared" si="21"/>
        <v>11516</v>
      </c>
      <c r="AP19" s="31">
        <f t="shared" si="54"/>
        <v>-923513.45726598764</v>
      </c>
      <c r="AQ19" s="34">
        <f t="shared" si="55"/>
        <v>-0.24879076208682552</v>
      </c>
      <c r="AR19" s="32">
        <f t="shared" si="56"/>
        <v>-2087975.2287251176</v>
      </c>
      <c r="AS19" s="33">
        <f t="shared" si="57"/>
        <v>11392495.007497244</v>
      </c>
      <c r="AT19" s="33">
        <f t="shared" si="58"/>
        <v>8392495.0074972436</v>
      </c>
      <c r="AW19" s="32">
        <f t="shared" si="37"/>
        <v>6304519.778772126</v>
      </c>
      <c r="AX19" s="32">
        <f t="shared" si="59"/>
        <v>6782711.8672632761</v>
      </c>
      <c r="AY19" s="32">
        <f t="shared" si="4"/>
        <v>3782711.8672632761</v>
      </c>
      <c r="AZ19">
        <v>14</v>
      </c>
      <c r="BA19" s="30">
        <v>0</v>
      </c>
      <c r="BB19" s="30">
        <f t="shared" si="39"/>
        <v>255951.39121748222</v>
      </c>
      <c r="BC19" s="30">
        <f t="shared" si="40"/>
        <v>255951.39121748222</v>
      </c>
      <c r="BD19" s="32">
        <f t="shared" si="41"/>
        <v>2521807.9115088498</v>
      </c>
    </row>
    <row r="20" spans="2:56" x14ac:dyDescent="0.25">
      <c r="B20" s="31">
        <f t="shared" si="6"/>
        <v>133475.60880018814</v>
      </c>
      <c r="C20" s="34">
        <f t="shared" si="7"/>
        <v>0.16779827846429105</v>
      </c>
      <c r="D20" s="32">
        <f t="shared" si="8"/>
        <v>319882.06384906033</v>
      </c>
      <c r="E20" s="33">
        <f t="shared" si="42"/>
        <v>2506348.9016493936</v>
      </c>
      <c r="F20" s="33">
        <f t="shared" si="10"/>
        <v>1906348.9016493936</v>
      </c>
      <c r="G20" s="33"/>
      <c r="H20" s="34">
        <f t="shared" si="11"/>
        <v>0.10884393830162598</v>
      </c>
      <c r="I20" s="32">
        <f t="shared" si="28"/>
        <v>2226230.9654984539</v>
      </c>
      <c r="J20" s="32">
        <f t="shared" si="43"/>
        <v>7189674.5792990727</v>
      </c>
      <c r="K20" s="32">
        <f t="shared" si="0"/>
        <v>4189674.5792990727</v>
      </c>
      <c r="L20">
        <v>15</v>
      </c>
      <c r="M20" s="30">
        <v>292104</v>
      </c>
      <c r="N20" s="30">
        <f t="shared" si="44"/>
        <v>271308.47469053115</v>
      </c>
      <c r="O20" s="30">
        <v>25000</v>
      </c>
      <c r="P20" s="30">
        <f t="shared" si="31"/>
        <v>-45795.525309468852</v>
      </c>
      <c r="Q20" s="32">
        <f t="shared" si="32"/>
        <v>-1963443.613800619</v>
      </c>
      <c r="S20" s="32">
        <f t="shared" si="12"/>
        <v>2999999.9999999981</v>
      </c>
      <c r="U20" s="31">
        <f t="shared" si="45"/>
        <v>459123.63732366334</v>
      </c>
      <c r="V20" s="34">
        <f t="shared" si="46"/>
        <v>1.1543705496110932</v>
      </c>
      <c r="W20" s="32">
        <f t="shared" si="47"/>
        <v>1100316.5146737571</v>
      </c>
      <c r="X20" s="33">
        <f t="shared" si="48"/>
        <v>1253174.4508246968</v>
      </c>
      <c r="Y20" s="33">
        <f t="shared" si="17"/>
        <v>953174.4508246968</v>
      </c>
      <c r="Z20" s="33"/>
      <c r="AA20" s="37">
        <f t="shared" si="18"/>
        <v>0.14720074066910827</v>
      </c>
      <c r="AB20" s="32">
        <f t="shared" si="49"/>
        <v>2053490.9654984539</v>
      </c>
      <c r="AC20" s="32">
        <f t="shared" si="50"/>
        <v>7189674.5792990727</v>
      </c>
      <c r="AD20" s="32">
        <f t="shared" si="2"/>
        <v>4189674.5792990727</v>
      </c>
      <c r="AE20">
        <v>15</v>
      </c>
      <c r="AF20" s="30">
        <v>328620</v>
      </c>
      <c r="AG20" s="30">
        <f t="shared" si="51"/>
        <v>271308.47469053115</v>
      </c>
      <c r="AH20" s="30">
        <f t="shared" si="52"/>
        <v>-57311.525309468852</v>
      </c>
      <c r="AI20" s="32">
        <f t="shared" si="53"/>
        <v>-2136183.6138006188</v>
      </c>
      <c r="AM20" s="32">
        <f t="shared" si="21"/>
        <v>11516</v>
      </c>
      <c r="AP20" s="31">
        <f t="shared" si="54"/>
        <v>-1063589.25482703</v>
      </c>
      <c r="AQ20" s="34">
        <f t="shared" si="55"/>
        <v>-0.26741731700247873</v>
      </c>
      <c r="AR20" s="32">
        <f t="shared" si="56"/>
        <v>-2548953.5427485155</v>
      </c>
      <c r="AS20" s="33">
        <f t="shared" si="57"/>
        <v>12531744.508246969</v>
      </c>
      <c r="AT20" s="33">
        <f t="shared" si="58"/>
        <v>9531744.5082469694</v>
      </c>
      <c r="AW20" s="32">
        <f t="shared" si="37"/>
        <v>6982790.9654984539</v>
      </c>
      <c r="AX20" s="32">
        <f t="shared" si="59"/>
        <v>7189674.5792990727</v>
      </c>
      <c r="AY20" s="32">
        <f t="shared" si="4"/>
        <v>4189674.5792990727</v>
      </c>
      <c r="AZ20">
        <v>15</v>
      </c>
      <c r="BA20" s="30">
        <v>0</v>
      </c>
      <c r="BB20" s="30">
        <f t="shared" si="39"/>
        <v>271308.47469053115</v>
      </c>
      <c r="BC20" s="30">
        <f t="shared" si="40"/>
        <v>271308.47469053115</v>
      </c>
      <c r="BD20" s="32">
        <f t="shared" si="41"/>
        <v>2793116.3861993812</v>
      </c>
    </row>
    <row r="21" spans="2:56" x14ac:dyDescent="0.25">
      <c r="B21" s="31">
        <f t="shared" si="6"/>
        <v>300436.60341007618</v>
      </c>
      <c r="C21" s="34">
        <f t="shared" si="7"/>
        <v>0.35383419871322042</v>
      </c>
      <c r="D21" s="32">
        <f t="shared" si="8"/>
        <v>763214.63161402848</v>
      </c>
      <c r="E21" s="33">
        <f t="shared" si="42"/>
        <v>2756983.7918143333</v>
      </c>
      <c r="F21" s="33">
        <f t="shared" si="10"/>
        <v>2156983.7918143333</v>
      </c>
      <c r="G21" s="33"/>
      <c r="H21" s="34">
        <f t="shared" si="11"/>
        <v>0.11693009618661065</v>
      </c>
      <c r="I21" s="32">
        <f>K21+Q21</f>
        <v>2920198.4234283618</v>
      </c>
      <c r="J21" s="32">
        <f t="shared" si="43"/>
        <v>7621055.0540570179</v>
      </c>
      <c r="K21" s="32">
        <f t="shared" si="0"/>
        <v>4621055.0540570179</v>
      </c>
      <c r="L21">
        <v>16</v>
      </c>
      <c r="M21" s="30">
        <v>0</v>
      </c>
      <c r="N21" s="30">
        <f t="shared" si="44"/>
        <v>287586.98317196302</v>
      </c>
      <c r="O21" s="30">
        <v>25000</v>
      </c>
      <c r="P21" s="30">
        <f t="shared" si="31"/>
        <v>262586.98317196302</v>
      </c>
      <c r="Q21" s="32">
        <f t="shared" si="32"/>
        <v>-1700856.6306286561</v>
      </c>
      <c r="U21" s="31">
        <f t="shared" si="45"/>
        <v>666823.62829255115</v>
      </c>
      <c r="V21" s="34">
        <f t="shared" si="46"/>
        <v>1.5706808126697385</v>
      </c>
      <c r="W21" s="32">
        <f t="shared" si="47"/>
        <v>1693966.5275211956</v>
      </c>
      <c r="X21" s="33">
        <f t="shared" si="48"/>
        <v>1378491.8959071666</v>
      </c>
      <c r="Y21" s="33">
        <f t="shared" si="17"/>
        <v>1078491.8959071666</v>
      </c>
      <c r="Z21" s="33"/>
      <c r="AA21" s="37">
        <f t="shared" si="18"/>
        <v>0.15650575301090441</v>
      </c>
      <c r="AB21" s="32">
        <f t="shared" si="49"/>
        <v>2772458.4234283622</v>
      </c>
      <c r="AC21" s="32">
        <f t="shared" si="50"/>
        <v>7621055.0540570179</v>
      </c>
      <c r="AD21" s="32">
        <f t="shared" si="2"/>
        <v>4621055.0540570179</v>
      </c>
      <c r="AE21">
        <v>16</v>
      </c>
      <c r="AF21" s="30">
        <v>0</v>
      </c>
      <c r="AG21" s="30">
        <f t="shared" si="51"/>
        <v>287586.98317196302</v>
      </c>
      <c r="AH21" s="30">
        <f t="shared" si="52"/>
        <v>287586.98317196302</v>
      </c>
      <c r="AI21" s="32">
        <f t="shared" si="53"/>
        <v>-1848596.6306286557</v>
      </c>
      <c r="AM21" s="32">
        <f>-AH21+P21</f>
        <v>-25000</v>
      </c>
      <c r="AP21" s="31">
        <f t="shared" si="54"/>
        <v>-1213674.6869458731</v>
      </c>
      <c r="AQ21" s="34">
        <f t="shared" si="55"/>
        <v>-0.28587702395760001</v>
      </c>
      <c r="AR21" s="32">
        <f t="shared" si="56"/>
        <v>-3083160.5356433056</v>
      </c>
      <c r="AS21" s="33">
        <f t="shared" si="57"/>
        <v>13784918.959071668</v>
      </c>
      <c r="AT21" s="33">
        <f t="shared" si="58"/>
        <v>10784918.959071668</v>
      </c>
      <c r="AW21" s="32">
        <f t="shared" si="37"/>
        <v>7701758.4234283622</v>
      </c>
      <c r="AX21" s="32">
        <f t="shared" si="59"/>
        <v>7621055.0540570179</v>
      </c>
      <c r="AY21" s="32">
        <f t="shared" si="4"/>
        <v>4621055.0540570179</v>
      </c>
      <c r="AZ21">
        <v>16</v>
      </c>
      <c r="BA21" s="30">
        <v>0</v>
      </c>
      <c r="BB21" s="30">
        <f t="shared" si="39"/>
        <v>287586.98317196302</v>
      </c>
      <c r="BC21" s="30">
        <f t="shared" si="40"/>
        <v>287586.98317196302</v>
      </c>
      <c r="BD21" s="32">
        <f t="shared" si="41"/>
        <v>3080703.3693713443</v>
      </c>
    </row>
    <row r="22" spans="2:56" x14ac:dyDescent="0.25">
      <c r="B22" s="31">
        <f t="shared" si="6"/>
        <v>454780.94710080203</v>
      </c>
      <c r="C22" s="34">
        <f t="shared" si="7"/>
        <v>0.50340392692442182</v>
      </c>
      <c r="D22" s="32">
        <f t="shared" si="8"/>
        <v>1224621.7578382967</v>
      </c>
      <c r="E22" s="33">
        <f t="shared" ref="E22:E30" si="60">E21*1.1</f>
        <v>3032682.1709957668</v>
      </c>
      <c r="F22" s="33">
        <f t="shared" si="10"/>
        <v>2432682.1709957668</v>
      </c>
      <c r="G22" s="33"/>
      <c r="H22" s="34">
        <f t="shared" si="11"/>
        <v>0.12216791540399452</v>
      </c>
      <c r="I22" s="32">
        <f>K22+Q22</f>
        <v>3657303.9288340635</v>
      </c>
      <c r="J22" s="32">
        <f t="shared" ref="J22:J30" si="61">J21*1.06</f>
        <v>8078318.3573004389</v>
      </c>
      <c r="K22" s="32">
        <f t="shared" si="0"/>
        <v>5078318.3573004389</v>
      </c>
      <c r="L22">
        <v>17</v>
      </c>
      <c r="M22" s="30">
        <v>0</v>
      </c>
      <c r="N22" s="30">
        <f t="shared" ref="N22:N30" si="62">N21*1.06</f>
        <v>304842.2021622808</v>
      </c>
      <c r="O22" s="30">
        <v>25000</v>
      </c>
      <c r="P22" s="30">
        <f t="shared" si="31"/>
        <v>279842.2021622808</v>
      </c>
      <c r="Q22" s="32">
        <f t="shared" si="32"/>
        <v>-1421014.4284663755</v>
      </c>
      <c r="U22" s="31">
        <f t="shared" si="45"/>
        <v>860905.4783937243</v>
      </c>
      <c r="V22" s="34">
        <f t="shared" si="46"/>
        <v>1.9058986586704547</v>
      </c>
      <c r="W22" s="32">
        <f t="shared" si="47"/>
        <v>2318222.8433361808</v>
      </c>
      <c r="X22" s="33">
        <f t="shared" si="48"/>
        <v>1516341.0854978834</v>
      </c>
      <c r="Y22" s="33">
        <f t="shared" si="17"/>
        <v>1216341.0854978834</v>
      </c>
      <c r="Z22" s="33"/>
      <c r="AA22" s="37">
        <f t="shared" si="18"/>
        <v>0.16169951360921542</v>
      </c>
      <c r="AB22" s="32">
        <f t="shared" si="49"/>
        <v>3534563.9288340639</v>
      </c>
      <c r="AC22" s="32">
        <f t="shared" si="50"/>
        <v>8078318.3573004389</v>
      </c>
      <c r="AD22" s="32">
        <f t="shared" si="2"/>
        <v>5078318.3573004389</v>
      </c>
      <c r="AE22">
        <v>17</v>
      </c>
      <c r="AF22" s="30">
        <v>0</v>
      </c>
      <c r="AG22" s="30">
        <f t="shared" si="51"/>
        <v>304842.2021622808</v>
      </c>
      <c r="AH22" s="30">
        <f t="shared" si="52"/>
        <v>304842.2021622808</v>
      </c>
      <c r="AI22" s="32">
        <f t="shared" si="53"/>
        <v>-1543754.428466375</v>
      </c>
      <c r="AP22" s="31">
        <f t="shared" si="54"/>
        <v>-1373880.0932999109</v>
      </c>
      <c r="AQ22" s="34">
        <f t="shared" si="55"/>
        <v>-0.30415374192761396</v>
      </c>
      <c r="AR22" s="32">
        <f t="shared" si="56"/>
        <v>-3699546.9261447713</v>
      </c>
      <c r="AS22" s="33">
        <f t="shared" si="57"/>
        <v>15163410.854978835</v>
      </c>
      <c r="AT22" s="33">
        <f t="shared" si="58"/>
        <v>12163410.854978835</v>
      </c>
      <c r="AW22" s="32">
        <f t="shared" si="37"/>
        <v>8463863.9288340639</v>
      </c>
      <c r="AX22" s="32">
        <f t="shared" si="59"/>
        <v>8078318.3573004389</v>
      </c>
      <c r="AY22" s="32">
        <f t="shared" si="4"/>
        <v>5078318.3573004389</v>
      </c>
      <c r="AZ22">
        <v>17</v>
      </c>
      <c r="BA22" s="30">
        <v>0</v>
      </c>
      <c r="BB22" s="30">
        <f t="shared" si="39"/>
        <v>304842.2021622808</v>
      </c>
      <c r="BC22" s="30">
        <f t="shared" si="40"/>
        <v>304842.2021622808</v>
      </c>
      <c r="BD22" s="32">
        <f t="shared" si="41"/>
        <v>3385545.571533625</v>
      </c>
    </row>
    <row r="23" spans="2:56" x14ac:dyDescent="0.25">
      <c r="B23" s="31">
        <f t="shared" si="6"/>
        <v>605809.36035724706</v>
      </c>
      <c r="C23" s="34">
        <f t="shared" si="7"/>
        <v>0.63202365949060635</v>
      </c>
      <c r="D23" s="32">
        <f t="shared" si="8"/>
        <v>1729185.3764687637</v>
      </c>
      <c r="E23" s="33">
        <f t="shared" si="60"/>
        <v>3335950.3880953435</v>
      </c>
      <c r="F23" s="33">
        <f t="shared" si="10"/>
        <v>2735950.3880953435</v>
      </c>
      <c r="G23" s="33"/>
      <c r="H23" s="34">
        <f t="shared" si="11"/>
        <v>0.12581979378333985</v>
      </c>
      <c r="I23" s="32">
        <f t="shared" ref="I23:I30" si="63">K23+Q23</f>
        <v>4465135.7645641072</v>
      </c>
      <c r="J23" s="32">
        <f t="shared" si="61"/>
        <v>8563017.4587384649</v>
      </c>
      <c r="K23" s="32">
        <f t="shared" si="0"/>
        <v>5563017.4587384649</v>
      </c>
      <c r="L23">
        <v>18</v>
      </c>
      <c r="M23" s="30">
        <v>0</v>
      </c>
      <c r="N23" s="30">
        <f t="shared" si="62"/>
        <v>323132.73429201765</v>
      </c>
      <c r="O23" s="30"/>
      <c r="P23" s="30">
        <f t="shared" ref="P22:P30" si="64">N23-M23</f>
        <v>323132.73429201765</v>
      </c>
      <c r="Q23" s="32">
        <f t="shared" si="32"/>
        <v>-1097881.6941743577</v>
      </c>
      <c r="U23" s="31">
        <f t="shared" si="45"/>
        <v>1042069.7790874192</v>
      </c>
      <c r="V23" s="34">
        <f t="shared" si="46"/>
        <v>2.1743234697958878</v>
      </c>
      <c r="W23" s="32">
        <f t="shared" si="47"/>
        <v>2974420.5705164364</v>
      </c>
      <c r="X23" s="33">
        <f t="shared" si="48"/>
        <v>1667975.1940476717</v>
      </c>
      <c r="Y23" s="33">
        <f t="shared" si="17"/>
        <v>1367975.1940476717</v>
      </c>
      <c r="Z23" s="33"/>
      <c r="AA23" s="37">
        <f t="shared" si="18"/>
        <v>0.16436743437869006</v>
      </c>
      <c r="AB23" s="32">
        <f t="shared" si="49"/>
        <v>4342395.7645641081</v>
      </c>
      <c r="AC23" s="32">
        <f t="shared" si="50"/>
        <v>8563017.4587384649</v>
      </c>
      <c r="AD23" s="32">
        <f t="shared" si="2"/>
        <v>5563017.4587384649</v>
      </c>
      <c r="AE23">
        <v>18</v>
      </c>
      <c r="AF23" s="30">
        <v>0</v>
      </c>
      <c r="AG23" s="30">
        <f t="shared" si="51"/>
        <v>323132.73429201765</v>
      </c>
      <c r="AH23" s="30">
        <f t="shared" si="52"/>
        <v>323132.73429201765</v>
      </c>
      <c r="AI23" s="32">
        <f t="shared" si="53"/>
        <v>-1220621.6941743572</v>
      </c>
      <c r="AP23" s="31">
        <f t="shared" si="54"/>
        <v>-1544335.1121797271</v>
      </c>
      <c r="AQ23" s="34">
        <f t="shared" si="55"/>
        <v>-0.32223217168651358</v>
      </c>
      <c r="AR23" s="32">
        <f t="shared" si="56"/>
        <v>-4408056.1759126112</v>
      </c>
      <c r="AS23" s="33">
        <f t="shared" si="57"/>
        <v>16679751.940476719</v>
      </c>
      <c r="AT23" s="33">
        <f t="shared" si="58"/>
        <v>13679751.940476719</v>
      </c>
      <c r="AW23" s="32">
        <f t="shared" si="37"/>
        <v>9271695.7645641081</v>
      </c>
      <c r="AX23" s="32">
        <f t="shared" si="59"/>
        <v>8563017.4587384649</v>
      </c>
      <c r="AY23" s="32">
        <f t="shared" si="4"/>
        <v>5563017.4587384649</v>
      </c>
      <c r="AZ23">
        <v>18</v>
      </c>
      <c r="BA23" s="30">
        <v>0</v>
      </c>
      <c r="BB23" s="30">
        <f t="shared" si="39"/>
        <v>323132.73429201765</v>
      </c>
      <c r="BC23" s="30">
        <f t="shared" si="40"/>
        <v>323132.73429201765</v>
      </c>
      <c r="BD23" s="32">
        <f t="shared" si="41"/>
        <v>3708678.3058256428</v>
      </c>
    </row>
    <row r="24" spans="2:56" x14ac:dyDescent="0.25">
      <c r="B24" s="31">
        <f t="shared" si="6"/>
        <v>744279.63184794399</v>
      </c>
      <c r="C24" s="34">
        <f t="shared" si="7"/>
        <v>0.73362396392475993</v>
      </c>
      <c r="D24" s="32">
        <f t="shared" si="8"/>
        <v>2251892.0835330761</v>
      </c>
      <c r="E24" s="33">
        <f t="shared" si="60"/>
        <v>3669545.4269048781</v>
      </c>
      <c r="F24" s="33">
        <f t="shared" si="10"/>
        <v>3069545.4269048781</v>
      </c>
      <c r="G24" s="33"/>
      <c r="H24" s="34">
        <f t="shared" si="11"/>
        <v>0.12805509271413107</v>
      </c>
      <c r="I24" s="32">
        <f t="shared" si="63"/>
        <v>5321437.5104379542</v>
      </c>
      <c r="J24" s="32">
        <f t="shared" si="61"/>
        <v>9076798.5062627736</v>
      </c>
      <c r="K24" s="32">
        <f t="shared" si="0"/>
        <v>6076798.5062627736</v>
      </c>
      <c r="L24">
        <v>19</v>
      </c>
      <c r="M24" s="30">
        <v>0</v>
      </c>
      <c r="N24" s="30">
        <f t="shared" si="62"/>
        <v>342520.69834953872</v>
      </c>
      <c r="O24" s="30"/>
      <c r="P24" s="30">
        <f t="shared" si="64"/>
        <v>342520.69834953872</v>
      </c>
      <c r="Q24" s="32">
        <f t="shared" si="32"/>
        <v>-755360.99582481897</v>
      </c>
      <c r="U24" s="31">
        <f t="shared" si="45"/>
        <v>1210974.8148945339</v>
      </c>
      <c r="V24" s="34">
        <f t="shared" si="46"/>
        <v>2.3872751742787988</v>
      </c>
      <c r="W24" s="32">
        <f t="shared" si="47"/>
        <v>3663924.7969855163</v>
      </c>
      <c r="X24" s="33">
        <f t="shared" si="48"/>
        <v>1834772.7134524391</v>
      </c>
      <c r="Y24" s="33">
        <f t="shared" si="17"/>
        <v>1534772.7134524391</v>
      </c>
      <c r="Z24" s="33"/>
      <c r="AA24" s="37">
        <f t="shared" si="18"/>
        <v>0.16541600371543907</v>
      </c>
      <c r="AB24" s="32">
        <f t="shared" si="49"/>
        <v>5198697.5104379551</v>
      </c>
      <c r="AC24" s="32">
        <f t="shared" si="50"/>
        <v>9076798.5062627736</v>
      </c>
      <c r="AD24" s="32">
        <f t="shared" si="2"/>
        <v>6076798.5062627736</v>
      </c>
      <c r="AE24">
        <v>19</v>
      </c>
      <c r="AF24" s="30">
        <v>0</v>
      </c>
      <c r="AG24" s="30">
        <f t="shared" si="51"/>
        <v>342520.69834953872</v>
      </c>
      <c r="AH24" s="30">
        <f t="shared" si="52"/>
        <v>342520.69834953872</v>
      </c>
      <c r="AI24" s="32">
        <f t="shared" si="53"/>
        <v>-878100.9958248185</v>
      </c>
      <c r="AP24" s="31">
        <f t="shared" si="54"/>
        <v>-1725188.5520489241</v>
      </c>
      <c r="AQ24" s="34">
        <f t="shared" si="55"/>
        <v>-0.34009789060849055</v>
      </c>
      <c r="AR24" s="32">
        <f t="shared" si="56"/>
        <v>-5219729.6240864396</v>
      </c>
      <c r="AS24" s="33">
        <f t="shared" si="57"/>
        <v>18347727.134524394</v>
      </c>
      <c r="AT24" s="33">
        <f t="shared" si="58"/>
        <v>15347727.134524394</v>
      </c>
      <c r="AW24" s="32">
        <f t="shared" si="37"/>
        <v>10127997.510437954</v>
      </c>
      <c r="AX24" s="32">
        <f t="shared" si="59"/>
        <v>9076798.5062627736</v>
      </c>
      <c r="AY24" s="32">
        <f t="shared" si="4"/>
        <v>6076798.5062627736</v>
      </c>
      <c r="AZ24">
        <v>19</v>
      </c>
      <c r="BA24" s="30">
        <v>0</v>
      </c>
      <c r="BB24" s="30">
        <f t="shared" si="39"/>
        <v>342520.69834953872</v>
      </c>
      <c r="BC24" s="30">
        <f t="shared" si="40"/>
        <v>342520.69834953872</v>
      </c>
      <c r="BD24" s="32">
        <f t="shared" si="41"/>
        <v>4051199.0041751815</v>
      </c>
    </row>
    <row r="25" spans="2:56" x14ac:dyDescent="0.25">
      <c r="B25" s="31">
        <f t="shared" si="6"/>
        <v>870751.30304427876</v>
      </c>
      <c r="C25" s="34">
        <f t="shared" si="7"/>
        <v>0.8126341964721987</v>
      </c>
      <c r="D25" s="32">
        <f t="shared" si="8"/>
        <v>2792617.3914688658</v>
      </c>
      <c r="E25" s="33">
        <f t="shared" si="60"/>
        <v>4036499.9695953662</v>
      </c>
      <c r="F25" s="33">
        <f t="shared" si="10"/>
        <v>3436499.9695953662</v>
      </c>
      <c r="G25" s="33"/>
      <c r="H25" s="34">
        <f t="shared" si="11"/>
        <v>0.12930347962347311</v>
      </c>
      <c r="I25" s="32">
        <f t="shared" si="63"/>
        <v>6229117.361064232</v>
      </c>
      <c r="J25" s="32">
        <f t="shared" si="61"/>
        <v>9621406.4166385401</v>
      </c>
      <c r="K25" s="32">
        <f t="shared" si="0"/>
        <v>6621406.4166385401</v>
      </c>
      <c r="L25">
        <v>20</v>
      </c>
      <c r="M25" s="30">
        <v>0</v>
      </c>
      <c r="N25" s="30">
        <f t="shared" si="62"/>
        <v>363071.94025051105</v>
      </c>
      <c r="O25" s="30"/>
      <c r="P25" s="30">
        <f t="shared" si="64"/>
        <v>363071.94025051105</v>
      </c>
      <c r="Q25" s="32">
        <f t="shared" si="32"/>
        <v>-392289.05557430792</v>
      </c>
      <c r="U25" s="31">
        <f t="shared" si="45"/>
        <v>1368238.8580981414</v>
      </c>
      <c r="V25" s="34">
        <f t="shared" si="46"/>
        <v>2.5538352481249893</v>
      </c>
      <c r="W25" s="32">
        <f t="shared" si="47"/>
        <v>4388127.3762665503</v>
      </c>
      <c r="X25" s="33">
        <f t="shared" si="48"/>
        <v>2018249.9847976831</v>
      </c>
      <c r="Y25" s="33">
        <f t="shared" si="17"/>
        <v>1718249.9847976831</v>
      </c>
      <c r="Z25" s="33"/>
      <c r="AA25" s="37">
        <f t="shared" si="18"/>
        <v>0.16539879070477315</v>
      </c>
      <c r="AB25" s="32">
        <f t="shared" si="49"/>
        <v>6106377.3610642329</v>
      </c>
      <c r="AC25" s="32">
        <f t="shared" si="50"/>
        <v>9621406.4166385401</v>
      </c>
      <c r="AD25" s="32">
        <f t="shared" si="2"/>
        <v>6621406.4166385401</v>
      </c>
      <c r="AE25">
        <v>20</v>
      </c>
      <c r="AF25" s="30">
        <v>0</v>
      </c>
      <c r="AG25" s="30">
        <f t="shared" si="51"/>
        <v>363071.94025051105</v>
      </c>
      <c r="AH25" s="30">
        <f t="shared" si="52"/>
        <v>363071.94025051105</v>
      </c>
      <c r="AI25" s="32">
        <f t="shared" si="53"/>
        <v>-515029.05557430745</v>
      </c>
      <c r="AP25" s="31">
        <f t="shared" si="54"/>
        <v>-1916608.3067490249</v>
      </c>
      <c r="AQ25" s="34">
        <f t="shared" si="55"/>
        <v>-0.35773738054980181</v>
      </c>
      <c r="AR25" s="32">
        <f t="shared" si="56"/>
        <v>-6146822.4869126007</v>
      </c>
      <c r="AS25" s="33">
        <f t="shared" si="57"/>
        <v>20182499.847976834</v>
      </c>
      <c r="AT25" s="33">
        <f t="shared" si="58"/>
        <v>17182499.847976834</v>
      </c>
      <c r="AW25" s="32">
        <f t="shared" si="37"/>
        <v>11035677.361064233</v>
      </c>
      <c r="AX25" s="32">
        <f t="shared" si="59"/>
        <v>9621406.4166385401</v>
      </c>
      <c r="AY25" s="32">
        <f t="shared" si="4"/>
        <v>6621406.4166385401</v>
      </c>
      <c r="AZ25">
        <v>20</v>
      </c>
      <c r="BA25" s="30">
        <v>0</v>
      </c>
      <c r="BB25" s="30">
        <f t="shared" si="39"/>
        <v>363071.94025051105</v>
      </c>
      <c r="BC25" s="30">
        <f t="shared" si="40"/>
        <v>363071.94025051105</v>
      </c>
      <c r="BD25" s="32">
        <f t="shared" si="41"/>
        <v>4414270.9444256928</v>
      </c>
    </row>
    <row r="26" spans="2:56" x14ac:dyDescent="0.25">
      <c r="B26" s="31">
        <f t="shared" si="6"/>
        <v>985746.53394786909</v>
      </c>
      <c r="C26" s="34">
        <f t="shared" si="7"/>
        <v>0.87265030411808298</v>
      </c>
      <c r="D26" s="32">
        <f t="shared" si="8"/>
        <v>3351108.0361731825</v>
      </c>
      <c r="E26" s="33">
        <f t="shared" si="60"/>
        <v>4440149.9665549034</v>
      </c>
      <c r="F26" s="33">
        <f t="shared" si="10"/>
        <v>3840149.9665549034</v>
      </c>
      <c r="G26" s="33"/>
      <c r="H26" s="34">
        <f t="shared" si="11"/>
        <v>0.12985244631590676</v>
      </c>
      <c r="I26" s="32">
        <f t="shared" si="63"/>
        <v>7191258.002728086</v>
      </c>
      <c r="J26" s="32">
        <f t="shared" si="61"/>
        <v>10198690.801636852</v>
      </c>
      <c r="K26" s="32">
        <f t="shared" si="0"/>
        <v>7198690.8016368523</v>
      </c>
      <c r="L26">
        <v>21</v>
      </c>
      <c r="M26" s="30">
        <v>0</v>
      </c>
      <c r="N26" s="30">
        <f t="shared" si="62"/>
        <v>384856.25666554173</v>
      </c>
      <c r="O26" s="30"/>
      <c r="P26" s="30">
        <f t="shared" si="64"/>
        <v>384856.25666554173</v>
      </c>
      <c r="Q26" s="32">
        <f t="shared" si="32"/>
        <v>-7432.7989087661845</v>
      </c>
      <c r="U26" s="31">
        <f t="shared" ref="U26:U45" si="65">W26/(1.06)^AE26</f>
        <v>1514442.3297814829</v>
      </c>
      <c r="V26" s="34">
        <f t="shared" ref="V26:V45" si="66">(AB26-Y26)/Y26</f>
        <v>2.6813760214002444</v>
      </c>
      <c r="W26" s="32">
        <f t="shared" ref="W26:W45" si="67">AB26-Y26</f>
        <v>5148443.0194506347</v>
      </c>
      <c r="X26" s="33">
        <f t="shared" ref="X26:X45" si="68">X25*1.1</f>
        <v>2220074.9832774517</v>
      </c>
      <c r="Y26" s="33">
        <f t="shared" si="17"/>
        <v>1920074.9832774517</v>
      </c>
      <c r="Z26" s="33"/>
      <c r="AA26" s="37">
        <f t="shared" si="18"/>
        <v>0.16466977362858892</v>
      </c>
      <c r="AB26" s="32">
        <f t="shared" ref="AB26:AB45" si="69">AD26+AI26</f>
        <v>7068518.0027280869</v>
      </c>
      <c r="AC26" s="32">
        <f t="shared" ref="AC26:AC45" si="70">AC25*1.06</f>
        <v>10198690.801636852</v>
      </c>
      <c r="AD26" s="32">
        <f t="shared" si="2"/>
        <v>7198690.8016368523</v>
      </c>
      <c r="AE26">
        <v>21</v>
      </c>
      <c r="AF26" s="30">
        <v>0</v>
      </c>
      <c r="AG26" s="30">
        <f t="shared" ref="AG26:AG45" si="71">AG25*1.06</f>
        <v>384856.25666554173</v>
      </c>
      <c r="AH26" s="30">
        <f t="shared" ref="AH26:AH45" si="72">AG26-AF26</f>
        <v>384856.25666554173</v>
      </c>
      <c r="AI26" s="32">
        <f t="shared" ref="AI26:AI45" si="73">AH26+AI25</f>
        <v>-130172.79890876572</v>
      </c>
      <c r="AP26" s="31">
        <f t="shared" si="54"/>
        <v>-2118781.3132516141</v>
      </c>
      <c r="AQ26" s="34">
        <f t="shared" si="55"/>
        <v>-0.3751380489188742</v>
      </c>
      <c r="AR26" s="32">
        <f t="shared" si="56"/>
        <v>-7202931.830046434</v>
      </c>
      <c r="AS26" s="33">
        <f t="shared" si="57"/>
        <v>22200749.83277452</v>
      </c>
      <c r="AT26" s="33">
        <f t="shared" si="58"/>
        <v>19200749.83277452</v>
      </c>
      <c r="AW26" s="32">
        <f t="shared" si="37"/>
        <v>11997818.002728086</v>
      </c>
      <c r="AX26" s="32">
        <f t="shared" si="59"/>
        <v>10198690.801636852</v>
      </c>
      <c r="AY26" s="32">
        <f t="shared" si="4"/>
        <v>7198690.8016368523</v>
      </c>
      <c r="AZ26">
        <v>21</v>
      </c>
      <c r="BA26" s="30">
        <v>0</v>
      </c>
      <c r="BB26" s="30">
        <f t="shared" si="39"/>
        <v>384856.25666554173</v>
      </c>
      <c r="BC26" s="30">
        <f t="shared" si="40"/>
        <v>384856.25666554173</v>
      </c>
      <c r="BD26" s="32">
        <f t="shared" si="41"/>
        <v>4799127.2010912346</v>
      </c>
    </row>
    <row r="27" spans="2:56" x14ac:dyDescent="0.25">
      <c r="B27" s="31">
        <f t="shared" si="6"/>
        <v>1089752.0035771185</v>
      </c>
      <c r="C27" s="34">
        <f t="shared" si="7"/>
        <v>0.91662252817143108</v>
      </c>
      <c r="D27" s="32">
        <f t="shared" si="8"/>
        <v>3926962.1196813779</v>
      </c>
      <c r="E27" s="33">
        <f t="shared" si="60"/>
        <v>4884164.9632103946</v>
      </c>
      <c r="F27" s="33">
        <f t="shared" si="10"/>
        <v>4284164.9632103946</v>
      </c>
      <c r="G27" s="33"/>
      <c r="H27" s="34">
        <f t="shared" si="11"/>
        <v>0.12990000290835568</v>
      </c>
      <c r="I27" s="32">
        <f t="shared" si="63"/>
        <v>8211127.0828917725</v>
      </c>
      <c r="J27" s="32">
        <f t="shared" si="61"/>
        <v>10810612.249735065</v>
      </c>
      <c r="K27" s="32">
        <f t="shared" si="0"/>
        <v>7810612.2497350648</v>
      </c>
      <c r="L27">
        <v>22</v>
      </c>
      <c r="M27" s="30">
        <v>0</v>
      </c>
      <c r="N27" s="30">
        <f t="shared" si="62"/>
        <v>407947.63206547423</v>
      </c>
      <c r="O27" s="30"/>
      <c r="P27" s="30">
        <f t="shared" si="64"/>
        <v>407947.63206547423</v>
      </c>
      <c r="Q27" s="32">
        <f t="shared" si="32"/>
        <v>400514.83315670805</v>
      </c>
      <c r="U27" s="31">
        <f t="shared" si="65"/>
        <v>1650129.8346258693</v>
      </c>
      <c r="V27" s="34">
        <f t="shared" si="66"/>
        <v>2.7759456754581344</v>
      </c>
      <c r="W27" s="32">
        <f t="shared" si="67"/>
        <v>5946304.6012865761</v>
      </c>
      <c r="X27" s="33">
        <f t="shared" si="68"/>
        <v>2442082.4816051973</v>
      </c>
      <c r="Y27" s="33">
        <f t="shared" si="17"/>
        <v>2142082.4816051973</v>
      </c>
      <c r="Z27" s="33"/>
      <c r="AA27" s="37">
        <f t="shared" si="18"/>
        <v>0.16346306373438413</v>
      </c>
      <c r="AB27" s="32">
        <f t="shared" si="69"/>
        <v>8088387.0828917734</v>
      </c>
      <c r="AC27" s="32">
        <f t="shared" si="70"/>
        <v>10810612.249735065</v>
      </c>
      <c r="AD27" s="32">
        <f t="shared" si="2"/>
        <v>7810612.2497350648</v>
      </c>
      <c r="AE27">
        <v>22</v>
      </c>
      <c r="AF27" s="30">
        <v>0</v>
      </c>
      <c r="AG27" s="30">
        <f t="shared" si="71"/>
        <v>407947.63206547423</v>
      </c>
      <c r="AH27" s="30">
        <f t="shared" si="72"/>
        <v>407947.63206547423</v>
      </c>
      <c r="AI27" s="32">
        <f t="shared" si="73"/>
        <v>277774.83315670851</v>
      </c>
      <c r="AP27" s="31">
        <f t="shared" si="54"/>
        <v>-2331913.5509738033</v>
      </c>
      <c r="AQ27" s="34">
        <f t="shared" si="55"/>
        <v>-0.39228824311485899</v>
      </c>
      <c r="AR27" s="32">
        <f t="shared" si="56"/>
        <v>-8403137.7331602015</v>
      </c>
      <c r="AS27" s="33">
        <f t="shared" si="57"/>
        <v>24420824.816051975</v>
      </c>
      <c r="AT27" s="33">
        <f t="shared" si="58"/>
        <v>21420824.816051975</v>
      </c>
      <c r="AW27" s="32">
        <f t="shared" si="37"/>
        <v>13017687.082891773</v>
      </c>
      <c r="AX27" s="32">
        <f t="shared" si="59"/>
        <v>10810612.249735065</v>
      </c>
      <c r="AY27" s="32">
        <f t="shared" si="4"/>
        <v>7810612.2497350648</v>
      </c>
      <c r="AZ27">
        <v>22</v>
      </c>
      <c r="BA27" s="30">
        <v>0</v>
      </c>
      <c r="BB27" s="30">
        <f t="shared" si="39"/>
        <v>407947.63206547423</v>
      </c>
      <c r="BC27" s="30">
        <f t="shared" si="40"/>
        <v>407947.63206547423</v>
      </c>
      <c r="BD27" s="32">
        <f t="shared" si="41"/>
        <v>5207074.8331567086</v>
      </c>
    </row>
    <row r="28" spans="2:56" x14ac:dyDescent="0.25">
      <c r="B28" s="31">
        <f t="shared" si="6"/>
        <v>1183220.6947490291</v>
      </c>
      <c r="C28" s="34">
        <f t="shared" si="7"/>
        <v>0.94699417635033356</v>
      </c>
      <c r="D28" s="32">
        <f t="shared" si="8"/>
        <v>4519606.848333844</v>
      </c>
      <c r="E28" s="33">
        <f t="shared" si="60"/>
        <v>5372581.4595314348</v>
      </c>
      <c r="F28" s="33">
        <f t="shared" si="10"/>
        <v>4772581.4595314348</v>
      </c>
      <c r="G28" s="33"/>
      <c r="H28" s="34">
        <f t="shared" si="11"/>
        <v>0.12958568320714803</v>
      </c>
      <c r="I28" s="32">
        <f t="shared" si="63"/>
        <v>9292188.3078652788</v>
      </c>
      <c r="J28" s="32">
        <f t="shared" si="61"/>
        <v>11459248.984719168</v>
      </c>
      <c r="K28" s="32">
        <f t="shared" si="0"/>
        <v>8459248.9847191684</v>
      </c>
      <c r="L28">
        <v>23</v>
      </c>
      <c r="M28" s="30">
        <v>0</v>
      </c>
      <c r="N28" s="30">
        <f t="shared" si="62"/>
        <v>432424.4899894027</v>
      </c>
      <c r="O28" s="30"/>
      <c r="P28" s="30">
        <f t="shared" si="64"/>
        <v>432424.4899894027</v>
      </c>
      <c r="Q28" s="32">
        <f t="shared" si="32"/>
        <v>832939.32314611075</v>
      </c>
      <c r="U28" s="31">
        <f t="shared" si="65"/>
        <v>1775812.0764663161</v>
      </c>
      <c r="V28" s="34">
        <f t="shared" si="66"/>
        <v>2.8425528765162333</v>
      </c>
      <c r="W28" s="32">
        <f t="shared" si="67"/>
        <v>6783157.5780995619</v>
      </c>
      <c r="X28" s="33">
        <f t="shared" si="68"/>
        <v>2686290.7297657174</v>
      </c>
      <c r="Y28" s="33">
        <f t="shared" si="17"/>
        <v>2386290.7297657174</v>
      </c>
      <c r="Z28" s="33"/>
      <c r="AA28" s="37">
        <f t="shared" si="18"/>
        <v>0.16193747138657444</v>
      </c>
      <c r="AB28" s="32">
        <f t="shared" si="69"/>
        <v>9169448.3078652788</v>
      </c>
      <c r="AC28" s="32">
        <f t="shared" si="70"/>
        <v>11459248.984719168</v>
      </c>
      <c r="AD28" s="32">
        <f t="shared" si="2"/>
        <v>8459248.9847191684</v>
      </c>
      <c r="AE28">
        <v>23</v>
      </c>
      <c r="AF28" s="30">
        <v>0</v>
      </c>
      <c r="AG28" s="30">
        <f t="shared" si="71"/>
        <v>432424.4899894027</v>
      </c>
      <c r="AH28" s="30">
        <f t="shared" si="72"/>
        <v>432424.4899894027</v>
      </c>
      <c r="AI28" s="32">
        <f t="shared" si="73"/>
        <v>710199.32314611122</v>
      </c>
      <c r="AP28" s="31">
        <f t="shared" si="54"/>
        <v>-2556230.0817825827</v>
      </c>
      <c r="AQ28" s="34">
        <f t="shared" si="55"/>
        <v>-0.409177258579491</v>
      </c>
      <c r="AR28" s="32">
        <f t="shared" si="56"/>
        <v>-9764158.9897918925</v>
      </c>
      <c r="AS28" s="33">
        <f t="shared" si="57"/>
        <v>26862907.297657173</v>
      </c>
      <c r="AT28" s="33">
        <f t="shared" si="58"/>
        <v>23862907.297657173</v>
      </c>
      <c r="AW28" s="32">
        <f t="shared" si="37"/>
        <v>14098748.307865281</v>
      </c>
      <c r="AX28" s="32">
        <f t="shared" si="59"/>
        <v>11459248.984719168</v>
      </c>
      <c r="AY28" s="32">
        <f t="shared" si="4"/>
        <v>8459248.9847191684</v>
      </c>
      <c r="AZ28">
        <v>23</v>
      </c>
      <c r="BA28" s="30">
        <v>0</v>
      </c>
      <c r="BB28" s="30">
        <f t="shared" si="39"/>
        <v>432424.4899894027</v>
      </c>
      <c r="BC28" s="30">
        <f t="shared" si="40"/>
        <v>432424.4899894027</v>
      </c>
      <c r="BD28" s="32">
        <f t="shared" si="41"/>
        <v>5639499.3231461113</v>
      </c>
    </row>
    <row r="29" spans="2:56" x14ac:dyDescent="0.25">
      <c r="B29" s="31">
        <f t="shared" si="6"/>
        <v>1266573.5693988164</v>
      </c>
      <c r="C29" s="34">
        <f t="shared" si="7"/>
        <v>0.96580574591284873</v>
      </c>
      <c r="D29" s="32">
        <f t="shared" si="8"/>
        <v>5128273.6008526199</v>
      </c>
      <c r="E29" s="33">
        <f t="shared" si="60"/>
        <v>5909839.6054845788</v>
      </c>
      <c r="F29" s="33">
        <f t="shared" si="10"/>
        <v>5309839.6054845788</v>
      </c>
      <c r="G29" s="33"/>
      <c r="H29" s="34">
        <f t="shared" si="11"/>
        <v>0.12900963891464712</v>
      </c>
      <c r="I29" s="32">
        <f t="shared" si="63"/>
        <v>10438113.206337199</v>
      </c>
      <c r="J29" s="32">
        <f t="shared" si="61"/>
        <v>12146803.92380232</v>
      </c>
      <c r="K29" s="32">
        <f t="shared" si="0"/>
        <v>9146803.9238023199</v>
      </c>
      <c r="L29">
        <v>24</v>
      </c>
      <c r="M29" s="30">
        <v>0</v>
      </c>
      <c r="N29" s="30">
        <f t="shared" si="62"/>
        <v>458369.9593887669</v>
      </c>
      <c r="O29" s="30"/>
      <c r="P29" s="30">
        <f t="shared" si="64"/>
        <v>458369.9593887669</v>
      </c>
      <c r="Q29" s="32">
        <f t="shared" si="32"/>
        <v>1291309.2825348778</v>
      </c>
      <c r="U29" s="31">
        <f t="shared" si="65"/>
        <v>1891967.661201108</v>
      </c>
      <c r="V29" s="34">
        <f t="shared" si="66"/>
        <v>2.8853803401829166</v>
      </c>
      <c r="W29" s="32">
        <f t="shared" si="67"/>
        <v>7660453.4035949092</v>
      </c>
      <c r="X29" s="33">
        <f t="shared" si="68"/>
        <v>2954919.8027422894</v>
      </c>
      <c r="Y29" s="33">
        <f t="shared" si="17"/>
        <v>2654919.8027422894</v>
      </c>
      <c r="Z29" s="33"/>
      <c r="AA29" s="37">
        <f t="shared" si="18"/>
        <v>0.16020282122598983</v>
      </c>
      <c r="AB29" s="32">
        <f t="shared" si="69"/>
        <v>10315373.206337199</v>
      </c>
      <c r="AC29" s="32">
        <f t="shared" si="70"/>
        <v>12146803.92380232</v>
      </c>
      <c r="AD29" s="32">
        <f t="shared" si="2"/>
        <v>9146803.9238023199</v>
      </c>
      <c r="AE29">
        <v>24</v>
      </c>
      <c r="AF29" s="30">
        <v>0</v>
      </c>
      <c r="AG29" s="30">
        <f t="shared" si="71"/>
        <v>458369.9593887669</v>
      </c>
      <c r="AH29" s="30">
        <f t="shared" si="72"/>
        <v>458369.9593887669</v>
      </c>
      <c r="AI29" s="32">
        <f t="shared" si="73"/>
        <v>1168569.2825348782</v>
      </c>
      <c r="AP29" s="31">
        <f t="shared" si="54"/>
        <v>-2791975.1299188738</v>
      </c>
      <c r="AQ29" s="34">
        <f t="shared" si="55"/>
        <v>-0.42579534076355735</v>
      </c>
      <c r="AR29" s="32">
        <f t="shared" si="56"/>
        <v>-11304524.821085695</v>
      </c>
      <c r="AS29" s="33">
        <f t="shared" si="57"/>
        <v>29549198.027422894</v>
      </c>
      <c r="AT29" s="33">
        <f t="shared" si="58"/>
        <v>26549198.027422894</v>
      </c>
      <c r="AW29" s="32">
        <f t="shared" si="37"/>
        <v>15244673.206337199</v>
      </c>
      <c r="AX29" s="32">
        <f t="shared" si="59"/>
        <v>12146803.92380232</v>
      </c>
      <c r="AY29" s="32">
        <f t="shared" si="4"/>
        <v>9146803.9238023199</v>
      </c>
      <c r="AZ29">
        <v>24</v>
      </c>
      <c r="BA29" s="30">
        <v>0</v>
      </c>
      <c r="BB29" s="30">
        <f t="shared" si="39"/>
        <v>458369.9593887669</v>
      </c>
      <c r="BC29" s="30">
        <f t="shared" si="40"/>
        <v>458369.9593887669</v>
      </c>
      <c r="BD29" s="32">
        <f t="shared" si="41"/>
        <v>6097869.2825348787</v>
      </c>
    </row>
    <row r="30" spans="2:56" x14ac:dyDescent="0.25">
      <c r="B30" s="31">
        <f t="shared" si="6"/>
        <v>1340201.1403149092</v>
      </c>
      <c r="C30" s="34">
        <f t="shared" si="7"/>
        <v>0.97477410878618853</v>
      </c>
      <c r="D30" s="32">
        <f t="shared" si="8"/>
        <v>5751970.0326843932</v>
      </c>
      <c r="E30" s="33">
        <f t="shared" si="60"/>
        <v>6500823.5660330374</v>
      </c>
      <c r="F30" s="33">
        <f t="shared" si="10"/>
        <v>5900823.5660330374</v>
      </c>
      <c r="G30" s="33"/>
      <c r="H30" s="34">
        <f t="shared" si="11"/>
        <v>0.1282448367114446</v>
      </c>
      <c r="I30" s="32">
        <f t="shared" si="63"/>
        <v>11652793.598717431</v>
      </c>
      <c r="J30" s="32">
        <f t="shared" si="61"/>
        <v>12875612.159230459</v>
      </c>
      <c r="K30" s="32">
        <f t="shared" si="0"/>
        <v>9875612.1592304595</v>
      </c>
      <c r="L30">
        <v>25</v>
      </c>
      <c r="M30" s="30">
        <v>0</v>
      </c>
      <c r="N30" s="30">
        <f t="shared" si="62"/>
        <v>485872.15695209295</v>
      </c>
      <c r="O30" s="30"/>
      <c r="P30" s="30">
        <f t="shared" si="64"/>
        <v>485872.15695209295</v>
      </c>
      <c r="Q30" s="32">
        <f t="shared" si="32"/>
        <v>1777181.4394869707</v>
      </c>
      <c r="U30" s="31">
        <f t="shared" si="65"/>
        <v>1999044.7932722655</v>
      </c>
      <c r="V30" s="34">
        <f t="shared" si="66"/>
        <v>2.9079472448856052</v>
      </c>
      <c r="W30" s="32">
        <f t="shared" si="67"/>
        <v>8579641.815700911</v>
      </c>
      <c r="X30" s="33">
        <f t="shared" si="68"/>
        <v>3250411.7830165187</v>
      </c>
      <c r="Y30" s="33">
        <f t="shared" si="17"/>
        <v>2950411.7830165187</v>
      </c>
      <c r="Z30" s="33"/>
      <c r="AA30" s="37">
        <f t="shared" si="18"/>
        <v>0.15833617145433987</v>
      </c>
      <c r="AB30" s="32">
        <f t="shared" si="69"/>
        <v>11530053.598717431</v>
      </c>
      <c r="AC30" s="32">
        <f t="shared" si="70"/>
        <v>12875612.159230459</v>
      </c>
      <c r="AD30" s="32">
        <f t="shared" si="2"/>
        <v>9875612.1592304595</v>
      </c>
      <c r="AE30">
        <v>25</v>
      </c>
      <c r="AF30" s="30">
        <v>0</v>
      </c>
      <c r="AG30" s="30">
        <f t="shared" si="71"/>
        <v>485872.15695209295</v>
      </c>
      <c r="AH30" s="30">
        <f t="shared" si="72"/>
        <v>485872.15695209295</v>
      </c>
      <c r="AI30" s="32">
        <f t="shared" si="73"/>
        <v>1654441.4394869711</v>
      </c>
      <c r="AP30" s="31">
        <f t="shared" ref="AP30:AP45" si="74">AR30/(1.06)^AZ30</f>
        <v>-3039412.2011735239</v>
      </c>
      <c r="AQ30" s="34">
        <f t="shared" ref="AQ30:AQ45" si="75">(AW30-AT30)/AT30</f>
        <v>-0.44213368135720732</v>
      </c>
      <c r="AR30" s="32">
        <f t="shared" ref="AR30:AR45" si="76">AW30-AT30</f>
        <v>-13044764.231447753</v>
      </c>
      <c r="AS30" s="33">
        <f t="shared" ref="AS30:AS45" si="77">AS29*1.1</f>
        <v>32504117.830165185</v>
      </c>
      <c r="AT30" s="33">
        <f t="shared" si="58"/>
        <v>29504117.830165185</v>
      </c>
      <c r="AW30" s="32">
        <f t="shared" si="37"/>
        <v>16459353.598717432</v>
      </c>
      <c r="AX30" s="32">
        <f t="shared" si="59"/>
        <v>12875612.159230459</v>
      </c>
      <c r="AY30" s="32">
        <f t="shared" si="4"/>
        <v>9875612.1592304595</v>
      </c>
      <c r="AZ30">
        <v>25</v>
      </c>
      <c r="BA30" s="30">
        <v>0</v>
      </c>
      <c r="BB30" s="30">
        <f t="shared" si="39"/>
        <v>485872.15695209295</v>
      </c>
      <c r="BC30" s="30">
        <f t="shared" si="40"/>
        <v>485872.15695209295</v>
      </c>
      <c r="BD30" s="32">
        <f t="shared" si="41"/>
        <v>6583741.4394869721</v>
      </c>
    </row>
    <row r="31" spans="2:56" x14ac:dyDescent="0.25">
      <c r="B31" s="31">
        <f t="shared" ref="B31:B45" si="78">D31/(1.06)^L31</f>
        <v>1404464.944822259</v>
      </c>
      <c r="C31" s="34">
        <f t="shared" ref="C31:C45" si="79">(I31-F31)/F31</f>
        <v>0.97535348048972914</v>
      </c>
      <c r="D31" s="32">
        <f t="shared" ref="D31:D45" si="80">I31-F31</f>
        <v>6389448.892004136</v>
      </c>
      <c r="E31" s="33">
        <f t="shared" ref="E31:E45" si="81">E30*1.1</f>
        <v>7150905.9226363413</v>
      </c>
      <c r="F31" s="33">
        <f t="shared" si="10"/>
        <v>6550905.9226363413</v>
      </c>
      <c r="G31" s="33"/>
      <c r="H31" s="34">
        <f t="shared" si="11"/>
        <v>0.12734508752751461</v>
      </c>
      <c r="I31" s="32">
        <f t="shared" ref="I31:I45" si="82">K31+Q31</f>
        <v>12940354.814640477</v>
      </c>
      <c r="J31" s="32">
        <f t="shared" ref="J31:J45" si="83">J30*1.06</f>
        <v>13648148.888784287</v>
      </c>
      <c r="K31" s="32">
        <f t="shared" si="0"/>
        <v>10648148.888784287</v>
      </c>
      <c r="L31">
        <v>26</v>
      </c>
      <c r="M31" s="30">
        <v>0</v>
      </c>
      <c r="N31" s="30">
        <f t="shared" ref="N31:N45" si="84">N30*1.06</f>
        <v>515024.48636921856</v>
      </c>
      <c r="O31" s="30"/>
      <c r="P31" s="30">
        <f t="shared" ref="P31:P45" si="85">N31-M31</f>
        <v>515024.48636921856</v>
      </c>
      <c r="Q31" s="32">
        <f t="shared" ref="Q31:Q45" si="86">P31+Q30</f>
        <v>2292205.9258561893</v>
      </c>
      <c r="U31" s="31">
        <f t="shared" si="65"/>
        <v>2097462.8715760456</v>
      </c>
      <c r="V31" s="34">
        <f t="shared" si="66"/>
        <v>2.9132342811853928</v>
      </c>
      <c r="W31" s="32">
        <f t="shared" si="67"/>
        <v>9542161.8533223066</v>
      </c>
      <c r="X31" s="33">
        <f t="shared" si="68"/>
        <v>3575452.9613181707</v>
      </c>
      <c r="Y31" s="33">
        <f t="shared" si="17"/>
        <v>3275452.9613181707</v>
      </c>
      <c r="Z31" s="33"/>
      <c r="AA31" s="37">
        <f t="shared" si="18"/>
        <v>0.15639216156880842</v>
      </c>
      <c r="AB31" s="32">
        <f t="shared" si="69"/>
        <v>12817614.814640477</v>
      </c>
      <c r="AC31" s="32">
        <f t="shared" si="70"/>
        <v>13648148.888784287</v>
      </c>
      <c r="AD31" s="32">
        <f t="shared" si="2"/>
        <v>10648148.888784287</v>
      </c>
      <c r="AE31">
        <v>26</v>
      </c>
      <c r="AF31" s="30">
        <v>0</v>
      </c>
      <c r="AG31" s="30">
        <f t="shared" si="71"/>
        <v>515024.48636921856</v>
      </c>
      <c r="AH31" s="30">
        <f t="shared" si="72"/>
        <v>515024.48636921856</v>
      </c>
      <c r="AI31" s="32">
        <f t="shared" si="73"/>
        <v>2169465.9258561898</v>
      </c>
      <c r="AP31" s="31">
        <f t="shared" si="74"/>
        <v>-3298824.2407453749</v>
      </c>
      <c r="AQ31" s="34">
        <f t="shared" si="75"/>
        <v>-0.45818440917257364</v>
      </c>
      <c r="AR31" s="32">
        <f t="shared" si="76"/>
        <v>-15007614.798541225</v>
      </c>
      <c r="AS31" s="33">
        <f t="shared" si="77"/>
        <v>35754529.613181703</v>
      </c>
      <c r="AT31" s="33">
        <f t="shared" si="58"/>
        <v>32754529.613181703</v>
      </c>
      <c r="AW31" s="32">
        <f t="shared" si="37"/>
        <v>17746914.814640477</v>
      </c>
      <c r="AX31" s="32">
        <f t="shared" si="59"/>
        <v>13648148.888784287</v>
      </c>
      <c r="AY31" s="32">
        <f t="shared" si="4"/>
        <v>10648148.888784287</v>
      </c>
      <c r="AZ31">
        <v>26</v>
      </c>
      <c r="BA31" s="30">
        <v>0</v>
      </c>
      <c r="BB31" s="30">
        <f t="shared" si="39"/>
        <v>515024.48636921856</v>
      </c>
      <c r="BC31" s="30">
        <f t="shared" si="40"/>
        <v>515024.48636921856</v>
      </c>
      <c r="BD31" s="32">
        <f t="shared" si="41"/>
        <v>7098765.9258561907</v>
      </c>
    </row>
    <row r="32" spans="2:56" x14ac:dyDescent="0.25">
      <c r="B32" s="31">
        <f t="shared" si="78"/>
        <v>1459698.9256211712</v>
      </c>
      <c r="C32" s="34">
        <f t="shared" si="79"/>
        <v>0.96878290186130556</v>
      </c>
      <c r="D32" s="32">
        <f t="shared" si="80"/>
        <v>7039173.188618931</v>
      </c>
      <c r="E32" s="33">
        <f t="shared" si="81"/>
        <v>7865996.5148999756</v>
      </c>
      <c r="F32" s="33">
        <f t="shared" si="10"/>
        <v>7265996.5148999756</v>
      </c>
      <c r="G32" s="33"/>
      <c r="H32" s="34">
        <f t="shared" si="11"/>
        <v>0.12635046715367815</v>
      </c>
      <c r="I32" s="32">
        <f t="shared" si="82"/>
        <v>14305169.703518907</v>
      </c>
      <c r="J32" s="32">
        <f t="shared" si="83"/>
        <v>14467037.822111346</v>
      </c>
      <c r="K32" s="32">
        <f t="shared" si="0"/>
        <v>11467037.822111346</v>
      </c>
      <c r="L32">
        <v>27</v>
      </c>
      <c r="M32" s="30">
        <v>0</v>
      </c>
      <c r="N32" s="30">
        <f t="shared" si="84"/>
        <v>545925.95555137168</v>
      </c>
      <c r="O32" s="30"/>
      <c r="P32" s="30">
        <f t="shared" si="85"/>
        <v>545925.95555137168</v>
      </c>
      <c r="Q32" s="32">
        <f t="shared" si="86"/>
        <v>2838131.8814075608</v>
      </c>
      <c r="U32" s="31">
        <f t="shared" si="65"/>
        <v>2187613.9903246574</v>
      </c>
      <c r="V32" s="34">
        <f t="shared" si="66"/>
        <v>2.9037810366233416</v>
      </c>
      <c r="W32" s="32">
        <f t="shared" si="67"/>
        <v>10549431.44606892</v>
      </c>
      <c r="X32" s="33">
        <f t="shared" si="68"/>
        <v>3932998.2574499878</v>
      </c>
      <c r="Y32" s="33">
        <f t="shared" si="17"/>
        <v>3632998.2574499878</v>
      </c>
      <c r="Z32" s="33"/>
      <c r="AA32" s="37">
        <f t="shared" si="18"/>
        <v>0.1544098041264601</v>
      </c>
      <c r="AB32" s="32">
        <f t="shared" si="69"/>
        <v>14182429.703518908</v>
      </c>
      <c r="AC32" s="32">
        <f t="shared" si="70"/>
        <v>14467037.822111346</v>
      </c>
      <c r="AD32" s="32">
        <f t="shared" si="2"/>
        <v>11467037.822111346</v>
      </c>
      <c r="AE32">
        <v>27</v>
      </c>
      <c r="AF32" s="30">
        <v>0</v>
      </c>
      <c r="AG32" s="30">
        <f t="shared" si="71"/>
        <v>545925.95555137168</v>
      </c>
      <c r="AH32" s="30">
        <f t="shared" si="72"/>
        <v>545925.95555137168</v>
      </c>
      <c r="AI32" s="32">
        <f t="shared" si="73"/>
        <v>2715391.8814075617</v>
      </c>
      <c r="AP32" s="31">
        <f t="shared" si="74"/>
        <v>-3570513.829306094</v>
      </c>
      <c r="AQ32" s="34">
        <f t="shared" si="75"/>
        <v>-0.47394057609778517</v>
      </c>
      <c r="AR32" s="32">
        <f t="shared" si="76"/>
        <v>-17218252.870980967</v>
      </c>
      <c r="AS32" s="33">
        <f t="shared" si="77"/>
        <v>39329982.574499875</v>
      </c>
      <c r="AT32" s="33">
        <f t="shared" si="58"/>
        <v>36329982.574499875</v>
      </c>
      <c r="AW32" s="32">
        <f t="shared" si="37"/>
        <v>19111729.703518908</v>
      </c>
      <c r="AX32" s="32">
        <f t="shared" si="59"/>
        <v>14467037.822111346</v>
      </c>
      <c r="AY32" s="32">
        <f t="shared" si="4"/>
        <v>11467037.822111346</v>
      </c>
      <c r="AZ32">
        <v>27</v>
      </c>
      <c r="BA32" s="30">
        <v>0</v>
      </c>
      <c r="BB32" s="30">
        <f t="shared" si="39"/>
        <v>545925.95555137168</v>
      </c>
      <c r="BC32" s="30">
        <f t="shared" si="40"/>
        <v>545925.95555137168</v>
      </c>
      <c r="BD32" s="32">
        <f t="shared" si="41"/>
        <v>7644691.8814075626</v>
      </c>
    </row>
    <row r="33" spans="2:56" x14ac:dyDescent="0.25">
      <c r="B33" s="31">
        <f t="shared" si="78"/>
        <v>1506210.723681241</v>
      </c>
      <c r="C33" s="34">
        <f t="shared" si="79"/>
        <v>0.95612361035505622</v>
      </c>
      <c r="D33" s="32">
        <f t="shared" si="80"/>
        <v>7699277.319340067</v>
      </c>
      <c r="E33" s="33">
        <f t="shared" si="81"/>
        <v>8652596.1663899738</v>
      </c>
      <c r="F33" s="33">
        <f t="shared" si="10"/>
        <v>8052596.1663899738</v>
      </c>
      <c r="G33" s="33"/>
      <c r="H33" s="34">
        <f t="shared" si="11"/>
        <v>0.12529105515289429</v>
      </c>
      <c r="I33" s="32">
        <f t="shared" si="82"/>
        <v>15751873.485730041</v>
      </c>
      <c r="J33" s="32">
        <f t="shared" si="83"/>
        <v>15335060.091438027</v>
      </c>
      <c r="K33" s="32">
        <f t="shared" si="0"/>
        <v>12335060.091438027</v>
      </c>
      <c r="L33">
        <v>28</v>
      </c>
      <c r="M33" s="30">
        <v>0</v>
      </c>
      <c r="N33" s="30">
        <f t="shared" si="84"/>
        <v>578681.51288445399</v>
      </c>
      <c r="O33" s="30"/>
      <c r="P33" s="30">
        <f t="shared" si="85"/>
        <v>578681.51288445399</v>
      </c>
      <c r="Q33" s="32">
        <f t="shared" si="86"/>
        <v>3416813.3942920147</v>
      </c>
      <c r="U33" s="31">
        <f t="shared" si="65"/>
        <v>2269864.3500614427</v>
      </c>
      <c r="V33" s="34">
        <f t="shared" si="66"/>
        <v>2.881762642205532</v>
      </c>
      <c r="W33" s="32">
        <f t="shared" si="67"/>
        <v>11602835.402535055</v>
      </c>
      <c r="X33" s="33">
        <f t="shared" si="68"/>
        <v>4326298.0831949869</v>
      </c>
      <c r="Y33" s="33">
        <f t="shared" si="17"/>
        <v>4026298.0831949869</v>
      </c>
      <c r="Z33" s="33"/>
      <c r="AA33" s="37">
        <f t="shared" si="18"/>
        <v>0.15241704960661107</v>
      </c>
      <c r="AB33" s="32">
        <f t="shared" si="69"/>
        <v>15629133.485730043</v>
      </c>
      <c r="AC33" s="32">
        <f t="shared" si="70"/>
        <v>15335060.091438027</v>
      </c>
      <c r="AD33" s="32">
        <f t="shared" si="2"/>
        <v>12335060.091438027</v>
      </c>
      <c r="AE33">
        <v>28</v>
      </c>
      <c r="AF33" s="30">
        <v>0</v>
      </c>
      <c r="AG33" s="30">
        <f t="shared" si="71"/>
        <v>578681.51288445399</v>
      </c>
      <c r="AH33" s="30">
        <f t="shared" si="72"/>
        <v>578681.51288445399</v>
      </c>
      <c r="AI33" s="32">
        <f t="shared" si="73"/>
        <v>3294073.3942920156</v>
      </c>
      <c r="AP33" s="31">
        <f t="shared" si="74"/>
        <v>-3854803.4168880861</v>
      </c>
      <c r="AQ33" s="34">
        <f t="shared" si="75"/>
        <v>-0.4893961385636823</v>
      </c>
      <c r="AR33" s="32">
        <f t="shared" si="76"/>
        <v>-19704547.346219823</v>
      </c>
      <c r="AS33" s="33">
        <f t="shared" si="77"/>
        <v>43262980.831949867</v>
      </c>
      <c r="AT33" s="33">
        <f t="shared" si="58"/>
        <v>40262980.831949867</v>
      </c>
      <c r="AW33" s="32">
        <f t="shared" si="37"/>
        <v>20558433.485730045</v>
      </c>
      <c r="AX33" s="32">
        <f t="shared" si="59"/>
        <v>15335060.091438027</v>
      </c>
      <c r="AY33" s="32">
        <f t="shared" si="4"/>
        <v>12335060.091438027</v>
      </c>
      <c r="AZ33">
        <v>28</v>
      </c>
      <c r="BA33" s="30">
        <v>0</v>
      </c>
      <c r="BB33" s="30">
        <f t="shared" si="39"/>
        <v>578681.51288445399</v>
      </c>
      <c r="BC33" s="30">
        <f t="shared" si="40"/>
        <v>578681.51288445399</v>
      </c>
      <c r="BD33" s="32">
        <f t="shared" si="41"/>
        <v>8223373.3942920165</v>
      </c>
    </row>
    <row r="34" spans="2:56" x14ac:dyDescent="0.25">
      <c r="B34" s="31">
        <f t="shared" si="78"/>
        <v>1544282.8877991762</v>
      </c>
      <c r="C34" s="34">
        <f t="shared" si="79"/>
        <v>0.93828874512285765</v>
      </c>
      <c r="D34" s="32">
        <f t="shared" si="80"/>
        <v>8367523.7118448727</v>
      </c>
      <c r="E34" s="33">
        <f t="shared" si="81"/>
        <v>9517855.7830289714</v>
      </c>
      <c r="F34" s="33">
        <f t="shared" si="10"/>
        <v>8917855.7830289714</v>
      </c>
      <c r="G34" s="33"/>
      <c r="H34" s="34">
        <f t="shared" si="11"/>
        <v>0.12418956200165376</v>
      </c>
      <c r="I34" s="32">
        <f t="shared" si="82"/>
        <v>17285379.494873844</v>
      </c>
      <c r="J34" s="32">
        <f t="shared" si="83"/>
        <v>16255163.69692431</v>
      </c>
      <c r="K34" s="32">
        <f t="shared" si="0"/>
        <v>13255163.69692431</v>
      </c>
      <c r="L34">
        <v>29</v>
      </c>
      <c r="M34" s="30">
        <v>0</v>
      </c>
      <c r="N34" s="30">
        <f t="shared" si="84"/>
        <v>613402.40365752124</v>
      </c>
      <c r="O34" s="30"/>
      <c r="P34" s="30">
        <f t="shared" si="85"/>
        <v>613402.40365752124</v>
      </c>
      <c r="Q34" s="32">
        <f t="shared" si="86"/>
        <v>4030215.7979495358</v>
      </c>
      <c r="U34" s="31">
        <f t="shared" si="65"/>
        <v>2344555.5837305528</v>
      </c>
      <c r="V34" s="34">
        <f t="shared" si="66"/>
        <v>2.8490506938977469</v>
      </c>
      <c r="W34" s="32">
        <f t="shared" si="67"/>
        <v>12703711.603359362</v>
      </c>
      <c r="X34" s="33">
        <f t="shared" si="68"/>
        <v>4758927.8915144857</v>
      </c>
      <c r="Y34" s="33">
        <f t="shared" si="17"/>
        <v>4458927.8915144857</v>
      </c>
      <c r="Z34" s="33"/>
      <c r="AA34" s="37">
        <f t="shared" si="18"/>
        <v>0.15043391689329244</v>
      </c>
      <c r="AB34" s="32">
        <f t="shared" si="69"/>
        <v>17162639.494873848</v>
      </c>
      <c r="AC34" s="32">
        <f t="shared" si="70"/>
        <v>16255163.69692431</v>
      </c>
      <c r="AD34" s="32">
        <f t="shared" si="2"/>
        <v>13255163.69692431</v>
      </c>
      <c r="AE34">
        <v>29</v>
      </c>
      <c r="AF34" s="30">
        <v>0</v>
      </c>
      <c r="AG34" s="30">
        <f t="shared" si="71"/>
        <v>613402.40365752124</v>
      </c>
      <c r="AH34" s="30">
        <f t="shared" si="72"/>
        <v>613402.40365752124</v>
      </c>
      <c r="AI34" s="32">
        <f t="shared" si="73"/>
        <v>3907475.7979495367</v>
      </c>
      <c r="AP34" s="31">
        <f t="shared" si="74"/>
        <v>-4152035.5943006207</v>
      </c>
      <c r="AQ34" s="34">
        <f t="shared" si="75"/>
        <v>-0.50454593497877209</v>
      </c>
      <c r="AR34" s="32">
        <f t="shared" si="76"/>
        <v>-22497339.420271013</v>
      </c>
      <c r="AS34" s="33">
        <f t="shared" si="77"/>
        <v>47589278.915144861</v>
      </c>
      <c r="AT34" s="33">
        <f t="shared" si="58"/>
        <v>44589278.915144861</v>
      </c>
      <c r="AW34" s="32">
        <f t="shared" si="37"/>
        <v>22091939.494873848</v>
      </c>
      <c r="AX34" s="32">
        <f t="shared" si="59"/>
        <v>16255163.69692431</v>
      </c>
      <c r="AY34" s="32">
        <f t="shared" si="4"/>
        <v>13255163.69692431</v>
      </c>
      <c r="AZ34">
        <v>29</v>
      </c>
      <c r="BA34" s="30">
        <v>0</v>
      </c>
      <c r="BB34" s="30">
        <f t="shared" si="39"/>
        <v>613402.40365752124</v>
      </c>
      <c r="BC34" s="30">
        <f t="shared" si="40"/>
        <v>613402.40365752124</v>
      </c>
      <c r="BD34" s="32">
        <f t="shared" si="41"/>
        <v>8836775.7979495376</v>
      </c>
    </row>
    <row r="35" spans="2:56" x14ac:dyDescent="0.25">
      <c r="B35" s="31">
        <f t="shared" si="78"/>
        <v>1574174.0051545051</v>
      </c>
      <c r="C35" s="34">
        <f t="shared" si="79"/>
        <v>0.91606717734010257</v>
      </c>
      <c r="D35" s="32">
        <f t="shared" si="80"/>
        <v>9041254.5032344125</v>
      </c>
      <c r="E35" s="33">
        <f t="shared" si="81"/>
        <v>10469641.361331869</v>
      </c>
      <c r="F35" s="33">
        <f t="shared" si="10"/>
        <v>9869641.3613318689</v>
      </c>
      <c r="G35" s="33"/>
      <c r="H35" s="34">
        <f t="shared" si="11"/>
        <v>0.12306320507516433</v>
      </c>
      <c r="I35" s="32">
        <f t="shared" si="82"/>
        <v>18910895.864566281</v>
      </c>
      <c r="J35" s="32">
        <f t="shared" si="83"/>
        <v>17230473.518739771</v>
      </c>
      <c r="K35" s="32">
        <f t="shared" si="0"/>
        <v>14230473.518739771</v>
      </c>
      <c r="L35">
        <v>30</v>
      </c>
      <c r="M35" s="30">
        <v>0</v>
      </c>
      <c r="N35" s="30">
        <f t="shared" si="84"/>
        <v>650206.54787697259</v>
      </c>
      <c r="O35" s="30"/>
      <c r="P35" s="30">
        <f t="shared" si="85"/>
        <v>650206.54787697259</v>
      </c>
      <c r="Q35" s="32">
        <f t="shared" si="86"/>
        <v>4680422.3458265085</v>
      </c>
      <c r="U35" s="31">
        <f t="shared" si="65"/>
        <v>2412006.0024177851</v>
      </c>
      <c r="V35" s="34">
        <f t="shared" si="66"/>
        <v>2.8072621236625959</v>
      </c>
      <c r="W35" s="32">
        <f t="shared" si="67"/>
        <v>13853335.183900347</v>
      </c>
      <c r="X35" s="33">
        <f t="shared" si="68"/>
        <v>5234820.6806659345</v>
      </c>
      <c r="Y35" s="33">
        <f t="shared" si="17"/>
        <v>4934820.6806659345</v>
      </c>
      <c r="Z35" s="33"/>
      <c r="AA35" s="37">
        <f t="shared" si="18"/>
        <v>0.14847467741675247</v>
      </c>
      <c r="AB35" s="32">
        <f t="shared" si="69"/>
        <v>18788155.864566281</v>
      </c>
      <c r="AC35" s="32">
        <f t="shared" si="70"/>
        <v>17230473.518739771</v>
      </c>
      <c r="AD35" s="32">
        <f t="shared" si="2"/>
        <v>14230473.518739771</v>
      </c>
      <c r="AE35">
        <v>30</v>
      </c>
      <c r="AF35" s="30">
        <v>0</v>
      </c>
      <c r="AG35" s="30">
        <f t="shared" si="71"/>
        <v>650206.54787697259</v>
      </c>
      <c r="AH35" s="30">
        <f t="shared" si="72"/>
        <v>650206.54787697259</v>
      </c>
      <c r="AI35" s="32">
        <f t="shared" si="73"/>
        <v>4557682.3458265094</v>
      </c>
      <c r="AP35" s="31">
        <f t="shared" si="74"/>
        <v>-4462573.4018656863</v>
      </c>
      <c r="AQ35" s="34">
        <f t="shared" si="75"/>
        <v>-0.51938565959471295</v>
      </c>
      <c r="AR35" s="32">
        <f t="shared" si="76"/>
        <v>-25630750.942093067</v>
      </c>
      <c r="AS35" s="33">
        <f t="shared" si="77"/>
        <v>52348206.806659348</v>
      </c>
      <c r="AT35" s="33">
        <f t="shared" si="58"/>
        <v>49348206.806659348</v>
      </c>
      <c r="AW35" s="32">
        <f t="shared" si="37"/>
        <v>23717455.864566281</v>
      </c>
      <c r="AX35" s="32">
        <f t="shared" si="59"/>
        <v>17230473.518739771</v>
      </c>
      <c r="AY35" s="32">
        <f t="shared" si="4"/>
        <v>14230473.518739771</v>
      </c>
      <c r="AZ35">
        <v>30</v>
      </c>
      <c r="BA35" s="30">
        <v>0</v>
      </c>
      <c r="BB35" s="30">
        <f t="shared" si="39"/>
        <v>650206.54787697259</v>
      </c>
      <c r="BC35" s="30">
        <f t="shared" si="40"/>
        <v>650206.54787697259</v>
      </c>
      <c r="BD35" s="32">
        <f t="shared" si="41"/>
        <v>9486982.3458265103</v>
      </c>
    </row>
    <row r="36" spans="2:56" x14ac:dyDescent="0.25">
      <c r="B36" s="31">
        <f t="shared" si="78"/>
        <v>1596119.7569373734</v>
      </c>
      <c r="C36" s="34">
        <f t="shared" si="79"/>
        <v>0.89014279404267749</v>
      </c>
      <c r="D36" s="32">
        <f t="shared" si="80"/>
        <v>9717337.7189751994</v>
      </c>
      <c r="E36" s="33">
        <f t="shared" si="81"/>
        <v>11516605.497465057</v>
      </c>
      <c r="F36" s="33">
        <f t="shared" si="10"/>
        <v>10916605.497465057</v>
      </c>
      <c r="G36" s="33"/>
      <c r="H36" s="34">
        <f t="shared" si="11"/>
        <v>0.1219250673817811</v>
      </c>
      <c r="I36" s="32">
        <f t="shared" si="82"/>
        <v>20633943.216440257</v>
      </c>
      <c r="J36" s="32">
        <f t="shared" si="83"/>
        <v>18264301.929864157</v>
      </c>
      <c r="K36" s="32">
        <f t="shared" si="0"/>
        <v>15264301.929864157</v>
      </c>
      <c r="L36">
        <v>31</v>
      </c>
      <c r="M36" s="30">
        <v>0</v>
      </c>
      <c r="N36" s="30">
        <f t="shared" si="84"/>
        <v>689218.94074959098</v>
      </c>
      <c r="O36" s="30"/>
      <c r="P36" s="30">
        <f t="shared" si="85"/>
        <v>689218.94074959098</v>
      </c>
      <c r="Q36" s="32">
        <f t="shared" si="86"/>
        <v>5369641.2865760997</v>
      </c>
      <c r="U36" s="31">
        <f t="shared" si="65"/>
        <v>2472511.7651106976</v>
      </c>
      <c r="V36" s="34">
        <f t="shared" si="66"/>
        <v>2.7577987445278951</v>
      </c>
      <c r="W36" s="32">
        <f t="shared" si="67"/>
        <v>15052900.467707727</v>
      </c>
      <c r="X36" s="33">
        <f t="shared" si="68"/>
        <v>5758302.7487325286</v>
      </c>
      <c r="Y36" s="33">
        <f t="shared" si="17"/>
        <v>5458302.7487325286</v>
      </c>
      <c r="Z36" s="33"/>
      <c r="AA36" s="37">
        <f t="shared" si="18"/>
        <v>0.14654940187852739</v>
      </c>
      <c r="AB36" s="32">
        <f t="shared" si="69"/>
        <v>20511203.216440257</v>
      </c>
      <c r="AC36" s="32">
        <f t="shared" si="70"/>
        <v>18264301.929864157</v>
      </c>
      <c r="AD36" s="32">
        <f t="shared" si="2"/>
        <v>15264301.929864157</v>
      </c>
      <c r="AE36">
        <v>31</v>
      </c>
      <c r="AF36" s="30">
        <v>0</v>
      </c>
      <c r="AG36" s="30">
        <f t="shared" si="71"/>
        <v>689218.94074959098</v>
      </c>
      <c r="AH36" s="30">
        <f t="shared" si="72"/>
        <v>689218.94074959098</v>
      </c>
      <c r="AI36" s="32">
        <f t="shared" si="73"/>
        <v>5246901.2865761006</v>
      </c>
      <c r="AP36" s="31">
        <f t="shared" si="74"/>
        <v>-4786800.6753491769</v>
      </c>
      <c r="AQ36" s="34">
        <f t="shared" si="75"/>
        <v>-0.53391183326451075</v>
      </c>
      <c r="AR36" s="32">
        <f t="shared" si="76"/>
        <v>-29142524.270885028</v>
      </c>
      <c r="AS36" s="33">
        <f t="shared" si="77"/>
        <v>57583027.487325288</v>
      </c>
      <c r="AT36" s="33">
        <f t="shared" si="58"/>
        <v>54583027.487325288</v>
      </c>
      <c r="AW36" s="32">
        <f t="shared" si="37"/>
        <v>25440503.21644026</v>
      </c>
      <c r="AX36" s="32">
        <f t="shared" si="59"/>
        <v>18264301.929864157</v>
      </c>
      <c r="AY36" s="32">
        <f t="shared" si="4"/>
        <v>15264301.929864157</v>
      </c>
      <c r="AZ36">
        <v>31</v>
      </c>
      <c r="BA36" s="30">
        <v>0</v>
      </c>
      <c r="BB36" s="30">
        <f t="shared" si="39"/>
        <v>689218.94074959098</v>
      </c>
      <c r="BC36" s="30">
        <f t="shared" si="40"/>
        <v>689218.94074959098</v>
      </c>
      <c r="BD36" s="32">
        <f t="shared" si="41"/>
        <v>10176201.286576102</v>
      </c>
    </row>
    <row r="37" spans="2:56" x14ac:dyDescent="0.25">
      <c r="B37" s="31">
        <f t="shared" si="78"/>
        <v>1610333.9028770374</v>
      </c>
      <c r="C37" s="34">
        <f t="shared" si="79"/>
        <v>0.86111023087830108</v>
      </c>
      <c r="D37" s="32">
        <f t="shared" si="80"/>
        <v>10392107.362215111</v>
      </c>
      <c r="E37" s="33">
        <f t="shared" si="81"/>
        <v>12668266.047211563</v>
      </c>
      <c r="F37" s="33">
        <f t="shared" si="10"/>
        <v>12068266.047211563</v>
      </c>
      <c r="G37" s="33"/>
      <c r="H37" s="34">
        <f t="shared" si="11"/>
        <v>0.12078509409393656</v>
      </c>
      <c r="I37" s="32">
        <f t="shared" si="82"/>
        <v>22460373.409426674</v>
      </c>
      <c r="J37" s="32">
        <f t="shared" si="83"/>
        <v>19360160.045656007</v>
      </c>
      <c r="K37" s="32">
        <f t="shared" si="0"/>
        <v>16360160.045656007</v>
      </c>
      <c r="L37">
        <v>32</v>
      </c>
      <c r="M37" s="30">
        <v>0</v>
      </c>
      <c r="N37" s="30">
        <f t="shared" si="84"/>
        <v>730572.07719456649</v>
      </c>
      <c r="O37" s="30"/>
      <c r="P37" s="30">
        <f t="shared" si="85"/>
        <v>730572.07719456649</v>
      </c>
      <c r="Q37" s="32">
        <f t="shared" si="86"/>
        <v>6100213.3637706665</v>
      </c>
      <c r="U37" s="31">
        <f t="shared" si="65"/>
        <v>2526347.9765724917</v>
      </c>
      <c r="V37" s="34">
        <f t="shared" si="66"/>
        <v>2.7018795114461205</v>
      </c>
      <c r="W37" s="32">
        <f t="shared" si="67"/>
        <v>16303500.385820892</v>
      </c>
      <c r="X37" s="33">
        <f t="shared" si="68"/>
        <v>6334133.0236057816</v>
      </c>
      <c r="Y37" s="33">
        <f t="shared" si="17"/>
        <v>6034133.0236057816</v>
      </c>
      <c r="Z37" s="33"/>
      <c r="AA37" s="37">
        <f t="shared" si="18"/>
        <v>0.14466506982135918</v>
      </c>
      <c r="AB37" s="32">
        <f t="shared" si="69"/>
        <v>22337633.409426674</v>
      </c>
      <c r="AC37" s="32">
        <f t="shared" si="70"/>
        <v>19360160.045656007</v>
      </c>
      <c r="AD37" s="32">
        <f t="shared" si="2"/>
        <v>16360160.045656007</v>
      </c>
      <c r="AE37">
        <v>32</v>
      </c>
      <c r="AF37" s="30">
        <v>0</v>
      </c>
      <c r="AG37" s="30">
        <f t="shared" si="71"/>
        <v>730572.07719456649</v>
      </c>
      <c r="AH37" s="30">
        <f t="shared" si="72"/>
        <v>730572.07719456649</v>
      </c>
      <c r="AI37" s="32">
        <f t="shared" si="73"/>
        <v>5977473.3637706675</v>
      </c>
      <c r="AP37" s="31">
        <f t="shared" si="74"/>
        <v>-5125122.4290450485</v>
      </c>
      <c r="AQ37" s="34">
        <f t="shared" si="75"/>
        <v>-0.54812177154932973</v>
      </c>
      <c r="AR37" s="32">
        <f t="shared" si="76"/>
        <v>-33074396.826631151</v>
      </c>
      <c r="AS37" s="33">
        <f t="shared" si="77"/>
        <v>63341330.236057825</v>
      </c>
      <c r="AT37" s="33">
        <f t="shared" si="58"/>
        <v>60341330.236057825</v>
      </c>
      <c r="AW37" s="32">
        <f t="shared" si="37"/>
        <v>27266933.409426674</v>
      </c>
      <c r="AX37" s="32">
        <f t="shared" si="59"/>
        <v>19360160.045656007</v>
      </c>
      <c r="AY37" s="32">
        <f t="shared" si="4"/>
        <v>16360160.045656007</v>
      </c>
      <c r="AZ37">
        <v>32</v>
      </c>
      <c r="BA37" s="30">
        <v>0</v>
      </c>
      <c r="BB37" s="30">
        <f t="shared" si="39"/>
        <v>730572.07719456649</v>
      </c>
      <c r="BC37" s="30">
        <f t="shared" si="40"/>
        <v>730572.07719456649</v>
      </c>
      <c r="BD37" s="32">
        <f t="shared" si="41"/>
        <v>10906773.363770667</v>
      </c>
    </row>
    <row r="38" spans="2:56" x14ac:dyDescent="0.25">
      <c r="B38" s="31">
        <f t="shared" si="78"/>
        <v>1617009.1982673313</v>
      </c>
      <c r="C38" s="34">
        <f t="shared" si="79"/>
        <v>0.82948780715493464</v>
      </c>
      <c r="D38" s="32">
        <f t="shared" si="80"/>
        <v>11061296.762059554</v>
      </c>
      <c r="E38" s="33">
        <f t="shared" si="81"/>
        <v>13935092.65193272</v>
      </c>
      <c r="F38" s="33">
        <f t="shared" si="10"/>
        <v>13335092.65193272</v>
      </c>
      <c r="G38" s="33"/>
      <c r="H38" s="34">
        <f t="shared" si="11"/>
        <v>0.11965083163889201</v>
      </c>
      <c r="I38" s="32">
        <f t="shared" si="82"/>
        <v>24396389.413992275</v>
      </c>
      <c r="J38" s="32">
        <f t="shared" si="83"/>
        <v>20521769.648395367</v>
      </c>
      <c r="K38" s="32">
        <f t="shared" si="0"/>
        <v>17521769.648395367</v>
      </c>
      <c r="L38">
        <v>33</v>
      </c>
      <c r="M38" s="30">
        <v>0</v>
      </c>
      <c r="N38" s="30">
        <f t="shared" si="84"/>
        <v>774406.40182624047</v>
      </c>
      <c r="O38" s="30"/>
      <c r="P38" s="30">
        <f t="shared" si="85"/>
        <v>774406.40182624047</v>
      </c>
      <c r="Q38" s="32">
        <f t="shared" si="86"/>
        <v>6874619.7655969067</v>
      </c>
      <c r="U38" s="31">
        <f t="shared" si="65"/>
        <v>2573769.7171845837</v>
      </c>
      <c r="V38" s="34">
        <f t="shared" si="66"/>
        <v>2.6405670433004715</v>
      </c>
      <c r="W38" s="32">
        <f t="shared" si="67"/>
        <v>17606103.088025913</v>
      </c>
      <c r="X38" s="33">
        <f t="shared" si="68"/>
        <v>6967546.32596636</v>
      </c>
      <c r="Y38" s="33">
        <f t="shared" si="17"/>
        <v>6667546.32596636</v>
      </c>
      <c r="Z38" s="33"/>
      <c r="AA38" s="37">
        <f t="shared" si="18"/>
        <v>0.14282637459662806</v>
      </c>
      <c r="AB38" s="32">
        <f t="shared" si="69"/>
        <v>24273649.413992275</v>
      </c>
      <c r="AC38" s="32">
        <f t="shared" si="70"/>
        <v>20521769.648395367</v>
      </c>
      <c r="AD38" s="32">
        <f t="shared" si="2"/>
        <v>17521769.648395367</v>
      </c>
      <c r="AE38">
        <v>33</v>
      </c>
      <c r="AF38" s="30">
        <v>0</v>
      </c>
      <c r="AG38" s="30">
        <f t="shared" si="71"/>
        <v>774406.40182624047</v>
      </c>
      <c r="AH38" s="30">
        <f t="shared" si="72"/>
        <v>774406.40182624047</v>
      </c>
      <c r="AI38" s="32">
        <f t="shared" si="73"/>
        <v>6751879.7655969076</v>
      </c>
      <c r="AP38" s="31">
        <f t="shared" si="74"/>
        <v>-5477965.2760503571</v>
      </c>
      <c r="AQ38" s="34">
        <f t="shared" si="75"/>
        <v>-0.56201355061811675</v>
      </c>
      <c r="AR38" s="32">
        <f t="shared" si="76"/>
        <v>-37472513.845671341</v>
      </c>
      <c r="AS38" s="33">
        <f t="shared" si="77"/>
        <v>69675463.259663612</v>
      </c>
      <c r="AT38" s="33">
        <f t="shared" si="58"/>
        <v>66675463.259663612</v>
      </c>
      <c r="AW38" s="32">
        <f t="shared" si="37"/>
        <v>29202949.413992275</v>
      </c>
      <c r="AX38" s="32">
        <f t="shared" si="59"/>
        <v>20521769.648395367</v>
      </c>
      <c r="AY38" s="32">
        <f t="shared" si="4"/>
        <v>17521769.648395367</v>
      </c>
      <c r="AZ38">
        <v>33</v>
      </c>
      <c r="BA38" s="30">
        <v>0</v>
      </c>
      <c r="BB38" s="30">
        <f t="shared" si="39"/>
        <v>774406.40182624047</v>
      </c>
      <c r="BC38" s="30">
        <f t="shared" si="40"/>
        <v>774406.40182624047</v>
      </c>
      <c r="BD38" s="32">
        <f t="shared" si="41"/>
        <v>11681179.765596908</v>
      </c>
    </row>
    <row r="39" spans="2:56" x14ac:dyDescent="0.25">
      <c r="B39" s="31">
        <f t="shared" si="78"/>
        <v>1616318.2468657338</v>
      </c>
      <c r="C39" s="34">
        <f t="shared" si="79"/>
        <v>0.79572823867811804</v>
      </c>
      <c r="D39" s="32">
        <f t="shared" si="80"/>
        <v>11719964.461705819</v>
      </c>
      <c r="E39" s="33">
        <f t="shared" si="81"/>
        <v>15328601.917125992</v>
      </c>
      <c r="F39" s="33">
        <f t="shared" si="10"/>
        <v>14728601.917125992</v>
      </c>
      <c r="G39" s="33"/>
      <c r="H39" s="34">
        <f t="shared" si="11"/>
        <v>0.11852798135414022</v>
      </c>
      <c r="I39" s="32">
        <f t="shared" si="82"/>
        <v>26448566.378831811</v>
      </c>
      <c r="J39" s="32">
        <f t="shared" si="83"/>
        <v>21753075.827299088</v>
      </c>
      <c r="K39" s="32">
        <f t="shared" si="0"/>
        <v>18753075.827299088</v>
      </c>
      <c r="L39">
        <v>34</v>
      </c>
      <c r="M39" s="30">
        <v>0</v>
      </c>
      <c r="N39" s="30">
        <f t="shared" si="84"/>
        <v>820870.78593581496</v>
      </c>
      <c r="O39" s="30"/>
      <c r="P39" s="30">
        <f t="shared" si="85"/>
        <v>820870.78593581496</v>
      </c>
      <c r="Q39" s="32">
        <f t="shared" si="86"/>
        <v>7695490.5515327211</v>
      </c>
      <c r="U39" s="31">
        <f t="shared" si="65"/>
        <v>2615013.008386563</v>
      </c>
      <c r="V39" s="34">
        <f t="shared" si="66"/>
        <v>2.5747895865419381</v>
      </c>
      <c r="W39" s="32">
        <f t="shared" si="67"/>
        <v>18961525.420268815</v>
      </c>
      <c r="X39" s="33">
        <f t="shared" si="68"/>
        <v>7664300.9585629962</v>
      </c>
      <c r="Y39" s="33">
        <f t="shared" si="17"/>
        <v>7364300.9585629962</v>
      </c>
      <c r="Z39" s="33"/>
      <c r="AA39" s="37">
        <f t="shared" si="18"/>
        <v>0.14103631309272657</v>
      </c>
      <c r="AB39" s="32">
        <f t="shared" si="69"/>
        <v>26325826.378831811</v>
      </c>
      <c r="AC39" s="32">
        <f t="shared" si="70"/>
        <v>21753075.827299088</v>
      </c>
      <c r="AD39" s="32">
        <f t="shared" si="2"/>
        <v>18753075.827299088</v>
      </c>
      <c r="AE39">
        <v>34</v>
      </c>
      <c r="AF39" s="30">
        <v>0</v>
      </c>
      <c r="AG39" s="30">
        <f t="shared" si="71"/>
        <v>820870.78593581496</v>
      </c>
      <c r="AH39" s="30">
        <f t="shared" si="72"/>
        <v>820870.78593581496</v>
      </c>
      <c r="AI39" s="32">
        <f t="shared" si="73"/>
        <v>7572750.551532723</v>
      </c>
      <c r="AP39" s="31">
        <f t="shared" si="74"/>
        <v>-5845777.8858477585</v>
      </c>
      <c r="AQ39" s="34">
        <f t="shared" si="75"/>
        <v>-0.57558597136786971</v>
      </c>
      <c r="AR39" s="32">
        <f t="shared" si="76"/>
        <v>-42387883.206798173</v>
      </c>
      <c r="AS39" s="33">
        <f t="shared" si="77"/>
        <v>76643009.585629985</v>
      </c>
      <c r="AT39" s="33">
        <f t="shared" si="58"/>
        <v>73643009.585629985</v>
      </c>
      <c r="AW39" s="32">
        <f t="shared" si="37"/>
        <v>31255126.378831811</v>
      </c>
      <c r="AX39" s="32">
        <f t="shared" si="59"/>
        <v>21753075.827299088</v>
      </c>
      <c r="AY39" s="32">
        <f t="shared" si="4"/>
        <v>18753075.827299088</v>
      </c>
      <c r="AZ39">
        <v>34</v>
      </c>
      <c r="BA39" s="30">
        <v>0</v>
      </c>
      <c r="BB39" s="30">
        <f t="shared" si="39"/>
        <v>820870.78593581496</v>
      </c>
      <c r="BC39" s="30">
        <f t="shared" si="40"/>
        <v>820870.78593581496</v>
      </c>
      <c r="BD39" s="32">
        <f t="shared" si="41"/>
        <v>12502050.551532723</v>
      </c>
    </row>
    <row r="40" spans="2:56" x14ac:dyDescent="0.25">
      <c r="B40" s="31">
        <f t="shared" si="78"/>
        <v>1608414.2928346912</v>
      </c>
      <c r="C40" s="34">
        <f t="shared" si="79"/>
        <v>0.76022757178788913</v>
      </c>
      <c r="D40" s="32">
        <f t="shared" si="80"/>
        <v>12362411.852723129</v>
      </c>
      <c r="E40" s="33">
        <f t="shared" si="81"/>
        <v>16861462.108838592</v>
      </c>
      <c r="F40" s="33">
        <f t="shared" si="10"/>
        <v>16261462.108838592</v>
      </c>
      <c r="G40" s="33"/>
      <c r="H40" s="34">
        <f t="shared" si="11"/>
        <v>0.11742081795956616</v>
      </c>
      <c r="I40" s="32">
        <f t="shared" si="82"/>
        <v>28623873.961561721</v>
      </c>
      <c r="J40" s="32">
        <f t="shared" si="83"/>
        <v>23058260.376937035</v>
      </c>
      <c r="K40" s="32">
        <f t="shared" si="0"/>
        <v>20058260.376937035</v>
      </c>
      <c r="L40">
        <v>35</v>
      </c>
      <c r="M40" s="30">
        <v>0</v>
      </c>
      <c r="N40" s="30">
        <f t="shared" si="84"/>
        <v>870123.03309196385</v>
      </c>
      <c r="O40" s="30"/>
      <c r="P40" s="30">
        <f t="shared" si="85"/>
        <v>870123.03309196385</v>
      </c>
      <c r="Q40" s="32">
        <f t="shared" si="86"/>
        <v>8565613.5846246853</v>
      </c>
      <c r="U40" s="31">
        <f t="shared" si="65"/>
        <v>2650295.7171283802</v>
      </c>
      <c r="V40" s="34">
        <f t="shared" si="66"/>
        <v>2.5053593300285719</v>
      </c>
      <c r="W40" s="32">
        <f t="shared" si="67"/>
        <v>20370402.907142431</v>
      </c>
      <c r="X40" s="33">
        <f t="shared" si="68"/>
        <v>8430731.0544192959</v>
      </c>
      <c r="Y40" s="33">
        <f t="shared" si="17"/>
        <v>8130731.0544192959</v>
      </c>
      <c r="Z40" s="33"/>
      <c r="AA40" s="37">
        <f t="shared" si="18"/>
        <v>0.13929662146262922</v>
      </c>
      <c r="AB40" s="32">
        <f t="shared" si="69"/>
        <v>28501133.961561725</v>
      </c>
      <c r="AC40" s="32">
        <f t="shared" si="70"/>
        <v>23058260.376937035</v>
      </c>
      <c r="AD40" s="32">
        <f t="shared" si="2"/>
        <v>20058260.376937035</v>
      </c>
      <c r="AE40">
        <v>35</v>
      </c>
      <c r="AF40" s="30">
        <v>0</v>
      </c>
      <c r="AG40" s="30">
        <f t="shared" si="71"/>
        <v>870123.03309196385</v>
      </c>
      <c r="AH40" s="30">
        <f t="shared" si="72"/>
        <v>870123.03309196385</v>
      </c>
      <c r="AI40" s="32">
        <f t="shared" si="73"/>
        <v>8442873.5846246872</v>
      </c>
      <c r="AP40" s="31">
        <f t="shared" si="74"/>
        <v>-6229031.4793892093</v>
      </c>
      <c r="AQ40" s="34">
        <f t="shared" si="75"/>
        <v>-0.58883852217210808</v>
      </c>
      <c r="AR40" s="32">
        <f t="shared" si="76"/>
        <v>-47876876.58263126</v>
      </c>
      <c r="AS40" s="33">
        <f t="shared" si="77"/>
        <v>84307310.544192985</v>
      </c>
      <c r="AT40" s="33">
        <f t="shared" si="58"/>
        <v>81307310.544192985</v>
      </c>
      <c r="AW40" s="32">
        <f t="shared" si="37"/>
        <v>33430433.961561725</v>
      </c>
      <c r="AX40" s="32">
        <f t="shared" si="59"/>
        <v>23058260.376937035</v>
      </c>
      <c r="AY40" s="32">
        <f t="shared" si="4"/>
        <v>20058260.376937035</v>
      </c>
      <c r="AZ40">
        <v>35</v>
      </c>
      <c r="BA40" s="30">
        <v>0</v>
      </c>
      <c r="BB40" s="30">
        <f t="shared" si="39"/>
        <v>870123.03309196385</v>
      </c>
      <c r="BC40" s="30">
        <f t="shared" si="40"/>
        <v>870123.03309196385</v>
      </c>
      <c r="BD40" s="32">
        <f t="shared" si="41"/>
        <v>13372173.584624687</v>
      </c>
    </row>
    <row r="41" spans="2:56" x14ac:dyDescent="0.25">
      <c r="B41" s="31">
        <f t="shared" si="78"/>
        <v>1593431.9546971482</v>
      </c>
      <c r="C41" s="34">
        <f t="shared" si="79"/>
        <v>0.72333268301086562</v>
      </c>
      <c r="D41" s="32">
        <f t="shared" si="80"/>
        <v>12982091.679532975</v>
      </c>
      <c r="E41" s="33">
        <f t="shared" si="81"/>
        <v>18547608.319722451</v>
      </c>
      <c r="F41" s="33">
        <f t="shared" si="10"/>
        <v>17947608.319722451</v>
      </c>
      <c r="G41" s="33"/>
      <c r="H41" s="34">
        <f t="shared" si="11"/>
        <v>0.11633250840435294</v>
      </c>
      <c r="I41" s="32">
        <f t="shared" si="82"/>
        <v>30929699.999255426</v>
      </c>
      <c r="J41" s="32">
        <f t="shared" si="83"/>
        <v>24441755.999553259</v>
      </c>
      <c r="K41" s="32">
        <f t="shared" si="0"/>
        <v>21441755.999553259</v>
      </c>
      <c r="L41">
        <v>36</v>
      </c>
      <c r="M41" s="30">
        <v>0</v>
      </c>
      <c r="N41" s="30">
        <f t="shared" si="84"/>
        <v>922330.41507748177</v>
      </c>
      <c r="O41" s="30"/>
      <c r="P41" s="30">
        <f t="shared" si="85"/>
        <v>922330.41507748177</v>
      </c>
      <c r="Q41" s="32">
        <f t="shared" si="86"/>
        <v>9487943.9997021668</v>
      </c>
      <c r="U41" s="31">
        <f t="shared" si="65"/>
        <v>2679818.4025476626</v>
      </c>
      <c r="V41" s="34">
        <f t="shared" si="66"/>
        <v>2.4329877775861601</v>
      </c>
      <c r="W41" s="32">
        <f t="shared" si="67"/>
        <v>21833155.839394201</v>
      </c>
      <c r="X41" s="33">
        <f t="shared" si="68"/>
        <v>9273804.1598612256</v>
      </c>
      <c r="Y41" s="33">
        <f t="shared" si="17"/>
        <v>8973804.1598612256</v>
      </c>
      <c r="Z41" s="33"/>
      <c r="AA41" s="37">
        <f t="shared" si="18"/>
        <v>0.13760809943289076</v>
      </c>
      <c r="AB41" s="32">
        <f t="shared" si="69"/>
        <v>30806959.999255426</v>
      </c>
      <c r="AC41" s="32">
        <f t="shared" si="70"/>
        <v>24441755.999553259</v>
      </c>
      <c r="AD41" s="32">
        <f t="shared" si="2"/>
        <v>21441755.999553259</v>
      </c>
      <c r="AE41">
        <v>36</v>
      </c>
      <c r="AF41" s="30">
        <v>0</v>
      </c>
      <c r="AG41" s="30">
        <f t="shared" si="71"/>
        <v>922330.41507748177</v>
      </c>
      <c r="AH41" s="30">
        <f t="shared" si="72"/>
        <v>922330.41507748177</v>
      </c>
      <c r="AI41" s="32">
        <f t="shared" si="73"/>
        <v>9365203.9997021686</v>
      </c>
      <c r="AP41" s="31">
        <f t="shared" si="74"/>
        <v>-6628220.3619507374</v>
      </c>
      <c r="AQ41" s="34">
        <f t="shared" si="75"/>
        <v>-0.60177134064169224</v>
      </c>
      <c r="AR41" s="32">
        <f t="shared" si="76"/>
        <v>-54001781.599356867</v>
      </c>
      <c r="AS41" s="33">
        <f t="shared" si="77"/>
        <v>92738041.598612294</v>
      </c>
      <c r="AT41" s="33">
        <f t="shared" si="58"/>
        <v>89738041.598612294</v>
      </c>
      <c r="AW41" s="32">
        <f t="shared" si="37"/>
        <v>35736259.999255426</v>
      </c>
      <c r="AX41" s="32">
        <f t="shared" si="59"/>
        <v>24441755.999553259</v>
      </c>
      <c r="AY41" s="32">
        <f t="shared" si="4"/>
        <v>21441755.999553259</v>
      </c>
      <c r="AZ41">
        <v>36</v>
      </c>
      <c r="BA41" s="30">
        <v>0</v>
      </c>
      <c r="BB41" s="30">
        <f t="shared" si="39"/>
        <v>922330.41507748177</v>
      </c>
      <c r="BC41" s="30">
        <f t="shared" si="40"/>
        <v>922330.41507748177</v>
      </c>
      <c r="BD41" s="32">
        <f t="shared" si="41"/>
        <v>14294503.999702169</v>
      </c>
    </row>
    <row r="42" spans="2:56" x14ac:dyDescent="0.25">
      <c r="B42" s="31">
        <f t="shared" si="78"/>
        <v>1571487.9040919293</v>
      </c>
      <c r="C42" s="34">
        <f t="shared" si="79"/>
        <v>0.6853476138916742</v>
      </c>
      <c r="D42" s="32">
        <f t="shared" si="80"/>
        <v>13571506.447516058</v>
      </c>
      <c r="E42" s="33">
        <f t="shared" si="81"/>
        <v>20402369.151694696</v>
      </c>
      <c r="F42" s="33">
        <f t="shared" si="10"/>
        <v>19802369.151694696</v>
      </c>
      <c r="G42" s="33"/>
      <c r="H42" s="34">
        <f t="shared" si="11"/>
        <v>0.11526535656588432</v>
      </c>
      <c r="I42" s="32">
        <f t="shared" si="82"/>
        <v>33373875.599210754</v>
      </c>
      <c r="J42" s="32">
        <f t="shared" si="83"/>
        <v>25908261.359526455</v>
      </c>
      <c r="K42" s="32">
        <f t="shared" si="0"/>
        <v>22908261.359526455</v>
      </c>
      <c r="L42">
        <v>37</v>
      </c>
      <c r="M42" s="30">
        <v>0</v>
      </c>
      <c r="N42" s="30">
        <f t="shared" si="84"/>
        <v>977670.2399821307</v>
      </c>
      <c r="O42" s="30"/>
      <c r="P42" s="30">
        <f t="shared" si="85"/>
        <v>977670.2399821307</v>
      </c>
      <c r="Q42" s="32">
        <f t="shared" si="86"/>
        <v>10465614.239684297</v>
      </c>
      <c r="U42" s="31">
        <f t="shared" si="65"/>
        <v>2703765.1078941608</v>
      </c>
      <c r="V42" s="34">
        <f t="shared" si="66"/>
        <v>2.3582987312773231</v>
      </c>
      <c r="W42" s="32">
        <f t="shared" si="67"/>
        <v>23349951.023363404</v>
      </c>
      <c r="X42" s="33">
        <f t="shared" si="68"/>
        <v>10201184.575847348</v>
      </c>
      <c r="Y42" s="33">
        <f t="shared" si="17"/>
        <v>9901184.5758473482</v>
      </c>
      <c r="Z42" s="33"/>
      <c r="AA42" s="37">
        <f t="shared" si="18"/>
        <v>0.13597085319521618</v>
      </c>
      <c r="AB42" s="32">
        <f t="shared" si="69"/>
        <v>33251135.599210754</v>
      </c>
      <c r="AC42" s="32">
        <f t="shared" si="70"/>
        <v>25908261.359526455</v>
      </c>
      <c r="AD42" s="32">
        <f t="shared" si="2"/>
        <v>22908261.359526455</v>
      </c>
      <c r="AE42">
        <v>37</v>
      </c>
      <c r="AF42" s="30">
        <v>0</v>
      </c>
      <c r="AG42" s="30">
        <f t="shared" si="71"/>
        <v>977670.2399821307</v>
      </c>
      <c r="AH42" s="30">
        <f t="shared" si="72"/>
        <v>977670.2399821307</v>
      </c>
      <c r="AI42" s="32">
        <f t="shared" si="73"/>
        <v>10342874.239684299</v>
      </c>
      <c r="AP42" s="31">
        <f t="shared" si="74"/>
        <v>-7043862.4941030703</v>
      </c>
      <c r="AQ42" s="34">
        <f t="shared" si="75"/>
        <v>-0.61438517475629184</v>
      </c>
      <c r="AR42" s="32">
        <f t="shared" si="76"/>
        <v>-60831410.159262776</v>
      </c>
      <c r="AS42" s="33">
        <f t="shared" si="77"/>
        <v>102011845.75847353</v>
      </c>
      <c r="AT42" s="33">
        <f t="shared" si="58"/>
        <v>99011845.75847353</v>
      </c>
      <c r="AW42" s="32">
        <f t="shared" si="37"/>
        <v>38180435.599210754</v>
      </c>
      <c r="AX42" s="32">
        <f t="shared" si="59"/>
        <v>25908261.359526455</v>
      </c>
      <c r="AY42" s="32">
        <f t="shared" si="4"/>
        <v>22908261.359526455</v>
      </c>
      <c r="AZ42">
        <v>37</v>
      </c>
      <c r="BA42" s="30">
        <v>0</v>
      </c>
      <c r="BB42" s="30">
        <f t="shared" si="39"/>
        <v>977670.2399821307</v>
      </c>
      <c r="BC42" s="30">
        <f t="shared" si="40"/>
        <v>977670.2399821307</v>
      </c>
      <c r="BD42" s="32">
        <f t="shared" si="41"/>
        <v>15272174.239684299</v>
      </c>
    </row>
    <row r="43" spans="2:56" x14ac:dyDescent="0.25">
      <c r="B43" s="31">
        <f t="shared" si="78"/>
        <v>1542681.4919382082</v>
      </c>
      <c r="C43" s="34">
        <f t="shared" si="79"/>
        <v>0.64653895350531632</v>
      </c>
      <c r="D43" s="32">
        <f t="shared" si="80"/>
        <v>14122095.668299232</v>
      </c>
      <c r="E43" s="33">
        <f t="shared" si="81"/>
        <v>22442606.066864166</v>
      </c>
      <c r="F43" s="33">
        <f t="shared" si="10"/>
        <v>21842606.066864166</v>
      </c>
      <c r="G43" s="33"/>
      <c r="H43" s="34">
        <f t="shared" si="11"/>
        <v>0.11422099226434046</v>
      </c>
      <c r="I43" s="32">
        <f t="shared" si="82"/>
        <v>35964701.735163398</v>
      </c>
      <c r="J43" s="32">
        <f t="shared" si="83"/>
        <v>27462757.041098043</v>
      </c>
      <c r="K43" s="32">
        <f t="shared" si="0"/>
        <v>24462757.041098043</v>
      </c>
      <c r="L43">
        <v>38</v>
      </c>
      <c r="M43" s="30">
        <v>0</v>
      </c>
      <c r="N43" s="30">
        <f t="shared" si="84"/>
        <v>1036330.4543810586</v>
      </c>
      <c r="O43" s="30"/>
      <c r="P43" s="30">
        <f t="shared" si="85"/>
        <v>1036330.4543810586</v>
      </c>
      <c r="Q43" s="32">
        <f t="shared" si="86"/>
        <v>11501944.694065355</v>
      </c>
      <c r="U43" s="31">
        <f t="shared" si="65"/>
        <v>2722304.1005428741</v>
      </c>
      <c r="V43" s="34">
        <f t="shared" si="66"/>
        <v>2.281839321319505</v>
      </c>
      <c r="W43" s="32">
        <f t="shared" si="67"/>
        <v>24920658.701731317</v>
      </c>
      <c r="X43" s="33">
        <f t="shared" si="68"/>
        <v>11221303.033432083</v>
      </c>
      <c r="Y43" s="33">
        <f t="shared" si="17"/>
        <v>10921303.033432083</v>
      </c>
      <c r="Z43" s="33"/>
      <c r="AA43" s="37">
        <f t="shared" si="18"/>
        <v>0.13438447827003852</v>
      </c>
      <c r="AB43" s="32">
        <f t="shared" si="69"/>
        <v>35841961.735163398</v>
      </c>
      <c r="AC43" s="32">
        <f t="shared" si="70"/>
        <v>27462757.041098043</v>
      </c>
      <c r="AD43" s="32">
        <f t="shared" si="2"/>
        <v>24462757.041098043</v>
      </c>
      <c r="AE43">
        <v>38</v>
      </c>
      <c r="AF43" s="30">
        <v>0</v>
      </c>
      <c r="AG43" s="30">
        <f t="shared" si="71"/>
        <v>1036330.4543810586</v>
      </c>
      <c r="AH43" s="30">
        <f t="shared" si="72"/>
        <v>1036330.4543810586</v>
      </c>
      <c r="AI43" s="32">
        <f t="shared" si="73"/>
        <v>11379204.694065357</v>
      </c>
      <c r="AP43" s="31">
        <f t="shared" si="74"/>
        <v>-7476500.1012171777</v>
      </c>
      <c r="AQ43" s="34">
        <f t="shared" si="75"/>
        <v>-0.62668134369722017</v>
      </c>
      <c r="AR43" s="32">
        <f t="shared" si="76"/>
        <v>-68441768.599157482</v>
      </c>
      <c r="AS43" s="33">
        <f t="shared" si="77"/>
        <v>112213030.33432089</v>
      </c>
      <c r="AT43" s="33">
        <f t="shared" si="58"/>
        <v>109213030.33432089</v>
      </c>
      <c r="AW43" s="32">
        <f t="shared" si="37"/>
        <v>40771261.735163398</v>
      </c>
      <c r="AX43" s="32">
        <f t="shared" si="59"/>
        <v>27462757.041098043</v>
      </c>
      <c r="AY43" s="32">
        <f t="shared" si="4"/>
        <v>24462757.041098043</v>
      </c>
      <c r="AZ43">
        <v>38</v>
      </c>
      <c r="BA43" s="30">
        <v>0</v>
      </c>
      <c r="BB43" s="30">
        <f t="shared" si="39"/>
        <v>1036330.4543810586</v>
      </c>
      <c r="BC43" s="30">
        <f t="shared" si="40"/>
        <v>1036330.4543810586</v>
      </c>
      <c r="BD43" s="32">
        <f t="shared" si="41"/>
        <v>16308504.694065357</v>
      </c>
    </row>
    <row r="44" spans="2:56" x14ac:dyDescent="0.25">
      <c r="B44" s="31">
        <f t="shared" si="78"/>
        <v>1507095.3244511653</v>
      </c>
      <c r="C44" s="34">
        <f t="shared" si="79"/>
        <v>0.60714043731479317</v>
      </c>
      <c r="D44" s="32">
        <f t="shared" si="80"/>
        <v>14624110.765722618</v>
      </c>
      <c r="E44" s="33">
        <f t="shared" si="81"/>
        <v>24686866.673550583</v>
      </c>
      <c r="F44" s="33">
        <f t="shared" si="10"/>
        <v>24086866.673550583</v>
      </c>
      <c r="G44" s="33"/>
      <c r="H44" s="34">
        <f t="shared" si="11"/>
        <v>0.11320051811416088</v>
      </c>
      <c r="I44" s="32">
        <f t="shared" si="82"/>
        <v>38710977.439273201</v>
      </c>
      <c r="J44" s="32">
        <f t="shared" si="83"/>
        <v>29110522.463563927</v>
      </c>
      <c r="K44" s="32">
        <f t="shared" si="0"/>
        <v>26110522.463563927</v>
      </c>
      <c r="L44">
        <v>39</v>
      </c>
      <c r="M44" s="30">
        <v>0</v>
      </c>
      <c r="N44" s="30">
        <f t="shared" si="84"/>
        <v>1098510.2816439222</v>
      </c>
      <c r="O44" s="30"/>
      <c r="P44" s="30">
        <f t="shared" si="85"/>
        <v>1098510.2816439222</v>
      </c>
      <c r="Q44" s="32">
        <f t="shared" si="86"/>
        <v>12600454.975709276</v>
      </c>
      <c r="U44" s="31">
        <f t="shared" si="65"/>
        <v>2735588.5627668751</v>
      </c>
      <c r="V44" s="34">
        <f t="shared" si="66"/>
        <v>2.2040894286716299</v>
      </c>
      <c r="W44" s="32">
        <f t="shared" si="67"/>
        <v>26544804.102497917</v>
      </c>
      <c r="X44" s="33">
        <f t="shared" si="68"/>
        <v>12343433.336775292</v>
      </c>
      <c r="Y44" s="33">
        <f t="shared" si="17"/>
        <v>12043433.336775292</v>
      </c>
      <c r="Z44" s="33"/>
      <c r="AA44" s="37">
        <f t="shared" si="18"/>
        <v>0.1328481977567475</v>
      </c>
      <c r="AB44" s="32">
        <f t="shared" si="69"/>
        <v>38588237.439273208</v>
      </c>
      <c r="AC44" s="32">
        <f t="shared" si="70"/>
        <v>29110522.463563927</v>
      </c>
      <c r="AD44" s="32">
        <f t="shared" si="2"/>
        <v>26110522.463563927</v>
      </c>
      <c r="AE44">
        <v>39</v>
      </c>
      <c r="AF44" s="30">
        <v>0</v>
      </c>
      <c r="AG44" s="30">
        <f t="shared" si="71"/>
        <v>1098510.2816439222</v>
      </c>
      <c r="AH44" s="30">
        <f t="shared" si="72"/>
        <v>1098510.2816439222</v>
      </c>
      <c r="AI44" s="32">
        <f t="shared" si="73"/>
        <v>12477714.975709278</v>
      </c>
      <c r="AP44" s="31">
        <f t="shared" si="74"/>
        <v>-7926700.3219972076</v>
      </c>
      <c r="AQ44" s="34">
        <f t="shared" si="75"/>
        <v>-0.63866169868363065</v>
      </c>
      <c r="AR44" s="32">
        <f t="shared" si="76"/>
        <v>-76916795.928479776</v>
      </c>
      <c r="AS44" s="33">
        <f t="shared" si="77"/>
        <v>123434333.36775298</v>
      </c>
      <c r="AT44" s="33">
        <f t="shared" si="58"/>
        <v>120434333.36775298</v>
      </c>
      <c r="AW44" s="32">
        <f t="shared" si="37"/>
        <v>43517537.439273208</v>
      </c>
      <c r="AX44" s="32">
        <f t="shared" si="59"/>
        <v>29110522.463563927</v>
      </c>
      <c r="AY44" s="32">
        <f t="shared" si="4"/>
        <v>26110522.463563927</v>
      </c>
      <c r="AZ44">
        <v>39</v>
      </c>
      <c r="BA44" s="30">
        <v>0</v>
      </c>
      <c r="BB44" s="30">
        <f t="shared" si="39"/>
        <v>1098510.2816439222</v>
      </c>
      <c r="BC44" s="30">
        <f t="shared" si="40"/>
        <v>1098510.2816439222</v>
      </c>
      <c r="BD44" s="32">
        <f t="shared" si="41"/>
        <v>17407014.975709278</v>
      </c>
    </row>
    <row r="45" spans="2:56" x14ac:dyDescent="0.25">
      <c r="B45" s="31">
        <f t="shared" si="78"/>
        <v>1464795.7912925116</v>
      </c>
      <c r="C45" s="34">
        <f t="shared" si="79"/>
        <v>0.56735689711710335</v>
      </c>
      <c r="D45" s="32">
        <f t="shared" si="80"/>
        <v>15066476.344723955</v>
      </c>
      <c r="E45" s="33">
        <f t="shared" si="81"/>
        <v>27155553.340905644</v>
      </c>
      <c r="F45" s="33">
        <f t="shared" si="10"/>
        <v>26555553.340905644</v>
      </c>
      <c r="G45" s="33"/>
      <c r="H45" s="34">
        <f t="shared" si="11"/>
        <v>0.11220462420937949</v>
      </c>
      <c r="I45" s="32">
        <f t="shared" si="82"/>
        <v>41622029.685629599</v>
      </c>
      <c r="J45" s="32">
        <f t="shared" si="83"/>
        <v>30857153.811377764</v>
      </c>
      <c r="K45" s="32">
        <f t="shared" si="0"/>
        <v>27857153.811377764</v>
      </c>
      <c r="L45">
        <v>40</v>
      </c>
      <c r="M45" s="30">
        <v>0</v>
      </c>
      <c r="N45" s="30">
        <f t="shared" si="84"/>
        <v>1164420.8985425576</v>
      </c>
      <c r="O45" s="30"/>
      <c r="P45" s="30">
        <f t="shared" si="85"/>
        <v>1164420.8985425576</v>
      </c>
      <c r="Q45" s="32">
        <f t="shared" si="86"/>
        <v>13764875.874251833</v>
      </c>
      <c r="U45" s="31">
        <f t="shared" si="65"/>
        <v>2743757.2357795504</v>
      </c>
      <c r="V45" s="34">
        <f t="shared" si="66"/>
        <v>2.1254697767268831</v>
      </c>
      <c r="W45" s="32">
        <f t="shared" si="67"/>
        <v>28221513.015176777</v>
      </c>
      <c r="X45" s="33">
        <f t="shared" si="68"/>
        <v>13577776.670452822</v>
      </c>
      <c r="Y45" s="33">
        <f t="shared" si="17"/>
        <v>13277776.670452822</v>
      </c>
      <c r="Z45" s="33"/>
      <c r="AA45" s="37">
        <f t="shared" si="18"/>
        <v>0.13136096718858736</v>
      </c>
      <c r="AB45" s="32">
        <f t="shared" si="69"/>
        <v>41499289.685629599</v>
      </c>
      <c r="AC45" s="32">
        <f t="shared" si="70"/>
        <v>30857153.811377764</v>
      </c>
      <c r="AD45" s="32">
        <f t="shared" si="2"/>
        <v>27857153.811377764</v>
      </c>
      <c r="AE45">
        <v>40</v>
      </c>
      <c r="AF45" s="30">
        <v>0</v>
      </c>
      <c r="AG45" s="30">
        <f t="shared" si="71"/>
        <v>1164420.8985425576</v>
      </c>
      <c r="AH45" s="30">
        <f t="shared" si="72"/>
        <v>1164420.8985425576</v>
      </c>
      <c r="AI45" s="32">
        <f t="shared" si="73"/>
        <v>13642135.874251835</v>
      </c>
      <c r="AP45" s="31">
        <f t="shared" si="74"/>
        <v>-8395055.8966063466</v>
      </c>
      <c r="AQ45" s="34">
        <f t="shared" si="75"/>
        <v>-0.65032858408480676</v>
      </c>
      <c r="AR45" s="32">
        <f t="shared" si="76"/>
        <v>-86349177.018898696</v>
      </c>
      <c r="AS45" s="33">
        <f t="shared" si="77"/>
        <v>135777766.7045283</v>
      </c>
      <c r="AT45" s="33">
        <f t="shared" si="58"/>
        <v>132777766.7045283</v>
      </c>
      <c r="AW45" s="32">
        <f t="shared" si="37"/>
        <v>46428589.685629599</v>
      </c>
      <c r="AX45" s="32">
        <f t="shared" si="59"/>
        <v>30857153.811377764</v>
      </c>
      <c r="AY45" s="32">
        <f t="shared" si="4"/>
        <v>27857153.811377764</v>
      </c>
      <c r="AZ45">
        <v>40</v>
      </c>
      <c r="BA45" s="30">
        <v>0</v>
      </c>
      <c r="BB45" s="30">
        <f t="shared" si="39"/>
        <v>1164420.8985425576</v>
      </c>
      <c r="BC45" s="30">
        <f t="shared" si="40"/>
        <v>1164420.8985425576</v>
      </c>
      <c r="BD45" s="32">
        <f t="shared" si="41"/>
        <v>18571435.874251835</v>
      </c>
    </row>
    <row r="48" spans="2:56" x14ac:dyDescent="0.25">
      <c r="M48" t="s">
        <v>327</v>
      </c>
    </row>
    <row r="49" spans="2:17" x14ac:dyDescent="0.25">
      <c r="B49" t="s">
        <v>325</v>
      </c>
      <c r="C49" t="s">
        <v>318</v>
      </c>
      <c r="E49" s="30">
        <v>600000</v>
      </c>
      <c r="F49" s="29">
        <f>((F53/E49)+1)^(1/G49) -1</f>
        <v>0.10000000000000009</v>
      </c>
      <c r="G49" s="30">
        <v>3</v>
      </c>
      <c r="H49" s="30"/>
      <c r="I49" s="30" t="s">
        <v>323</v>
      </c>
      <c r="J49" s="30">
        <v>3000000</v>
      </c>
      <c r="M49" s="28">
        <v>22936</v>
      </c>
      <c r="N49">
        <v>15000</v>
      </c>
    </row>
    <row r="50" spans="2:17" x14ac:dyDescent="0.25">
      <c r="E50" t="s">
        <v>322</v>
      </c>
      <c r="J50" t="s">
        <v>324</v>
      </c>
      <c r="M50" t="s">
        <v>316</v>
      </c>
      <c r="N50" t="s">
        <v>321</v>
      </c>
      <c r="P50" t="s">
        <v>318</v>
      </c>
    </row>
    <row r="51" spans="2:17" x14ac:dyDescent="0.25">
      <c r="B51" s="31">
        <f>D51/(1.06)^L51</f>
        <v>79969.811320754714</v>
      </c>
      <c r="C51" s="34">
        <f>(I51-F51)/F51</f>
        <v>1.4128000000000001</v>
      </c>
      <c r="D51" s="32">
        <f>I51-F51</f>
        <v>84768</v>
      </c>
      <c r="E51" s="33">
        <f>E49*1.1</f>
        <v>660000</v>
      </c>
      <c r="F51" s="33">
        <f>E51-600000</f>
        <v>60000</v>
      </c>
      <c r="G51" s="33"/>
      <c r="H51" s="29">
        <f>((I51/600000)+1)^(1/L51) -1</f>
        <v>0.24127999999999994</v>
      </c>
      <c r="I51" s="32">
        <f>K51+Q51</f>
        <v>144768</v>
      </c>
      <c r="J51" s="33">
        <f>J49*1.08</f>
        <v>3240000</v>
      </c>
      <c r="K51" s="32">
        <f t="shared" ref="K51:K90" si="87">J51-3000000</f>
        <v>240000</v>
      </c>
      <c r="L51">
        <v>1</v>
      </c>
      <c r="M51" s="30">
        <f>M49*12</f>
        <v>275232</v>
      </c>
      <c r="N51" s="30">
        <f t="shared" ref="N51" si="88">N49*12</f>
        <v>180000</v>
      </c>
      <c r="O51" s="30"/>
      <c r="P51" s="30">
        <f>N51-M51</f>
        <v>-95232</v>
      </c>
      <c r="Q51" s="32">
        <f>P51</f>
        <v>-95232</v>
      </c>
    </row>
    <row r="52" spans="2:17" x14ac:dyDescent="0.25">
      <c r="B52" s="31">
        <f t="shared" ref="B52:B75" si="89">D52/(1.06)^L52</f>
        <v>175450.33819864708</v>
      </c>
      <c r="C52" s="34">
        <f t="shared" ref="C52:C75" si="90">(I52-F52)/F52</f>
        <v>1.5645714285714263</v>
      </c>
      <c r="D52" s="32">
        <f t="shared" ref="D52:D75" si="91">I52-F52</f>
        <v>197135.99999999988</v>
      </c>
      <c r="E52" s="33">
        <f t="shared" ref="E52:E75" si="92">E51*1.1</f>
        <v>726000.00000000012</v>
      </c>
      <c r="F52" s="33">
        <f t="shared" ref="F52:F90" si="93">E52-600000</f>
        <v>126000.00000000012</v>
      </c>
      <c r="G52" s="33"/>
      <c r="H52" s="29">
        <f t="shared" ref="H52:H75" si="94">((I52/600000)+1)^(1/L52) -1</f>
        <v>0.24038703637211567</v>
      </c>
      <c r="I52" s="32">
        <f>K52+Q52</f>
        <v>323136</v>
      </c>
      <c r="J52" s="32">
        <f>J51*1.08</f>
        <v>3499200</v>
      </c>
      <c r="K52" s="32">
        <f t="shared" si="87"/>
        <v>499200</v>
      </c>
      <c r="L52">
        <v>2</v>
      </c>
      <c r="M52" s="30">
        <v>275232</v>
      </c>
      <c r="N52" s="30">
        <f>N51*1.08</f>
        <v>194400</v>
      </c>
      <c r="O52" s="30"/>
      <c r="P52" s="30">
        <f t="shared" ref="P52:P75" si="95">N52-M52</f>
        <v>-80832</v>
      </c>
      <c r="Q52" s="32">
        <f>P52+Q51</f>
        <v>-176064</v>
      </c>
    </row>
    <row r="53" spans="2:17" x14ac:dyDescent="0.25">
      <c r="B53" s="31">
        <f t="shared" si="89"/>
        <v>284792.14385029266</v>
      </c>
      <c r="C53" s="34">
        <f t="shared" si="90"/>
        <v>1.7079154078549841</v>
      </c>
      <c r="D53" s="32">
        <f t="shared" si="91"/>
        <v>339192.00000000023</v>
      </c>
      <c r="E53" s="33">
        <f t="shared" si="92"/>
        <v>798600.00000000023</v>
      </c>
      <c r="F53" s="33">
        <f t="shared" si="93"/>
        <v>198600.00000000023</v>
      </c>
      <c r="G53" s="33"/>
      <c r="H53" s="29">
        <f t="shared" si="94"/>
        <v>0.23776217959617862</v>
      </c>
      <c r="I53" s="32">
        <f t="shared" ref="I53:I65" si="96">K53+Q53</f>
        <v>537792.00000000047</v>
      </c>
      <c r="J53" s="32">
        <f t="shared" ref="J53:J75" si="97">J52*1.08</f>
        <v>3779136.0000000005</v>
      </c>
      <c r="K53" s="32">
        <f t="shared" si="87"/>
        <v>779136.00000000047</v>
      </c>
      <c r="L53">
        <v>3</v>
      </c>
      <c r="M53" s="30">
        <v>275232</v>
      </c>
      <c r="N53" s="30">
        <f t="shared" ref="N53:N75" si="98">N52*1.08</f>
        <v>209952</v>
      </c>
      <c r="O53" s="30"/>
      <c r="P53" s="30">
        <f t="shared" si="95"/>
        <v>-65280</v>
      </c>
      <c r="Q53" s="32">
        <f t="shared" ref="Q53:Q75" si="99">P53+Q52</f>
        <v>-241344</v>
      </c>
    </row>
    <row r="54" spans="2:17" x14ac:dyDescent="0.25">
      <c r="B54" s="31">
        <f t="shared" si="89"/>
        <v>406485.86569057102</v>
      </c>
      <c r="C54" s="34">
        <f t="shared" si="90"/>
        <v>1.8429183365653949</v>
      </c>
      <c r="D54" s="32">
        <f t="shared" si="91"/>
        <v>513179.0400000005</v>
      </c>
      <c r="E54" s="33">
        <f t="shared" si="92"/>
        <v>878460.00000000035</v>
      </c>
      <c r="F54" s="33">
        <f t="shared" si="93"/>
        <v>278460.00000000035</v>
      </c>
      <c r="G54" s="33"/>
      <c r="H54" s="29">
        <f t="shared" si="94"/>
        <v>0.23408148981079568</v>
      </c>
      <c r="I54" s="32">
        <f t="shared" si="96"/>
        <v>791639.04000000085</v>
      </c>
      <c r="J54" s="32">
        <f t="shared" si="97"/>
        <v>4081466.8800000008</v>
      </c>
      <c r="K54" s="32">
        <f t="shared" si="87"/>
        <v>1081466.8800000008</v>
      </c>
      <c r="L54">
        <v>4</v>
      </c>
      <c r="M54" s="30">
        <v>275232</v>
      </c>
      <c r="N54" s="30">
        <f t="shared" si="98"/>
        <v>226748.16</v>
      </c>
      <c r="O54" s="30"/>
      <c r="P54" s="30">
        <f t="shared" si="95"/>
        <v>-48483.839999999997</v>
      </c>
      <c r="Q54" s="32">
        <f t="shared" si="99"/>
        <v>-289827.83999999997</v>
      </c>
    </row>
    <row r="55" spans="2:17" x14ac:dyDescent="0.25">
      <c r="B55" s="31">
        <f t="shared" si="89"/>
        <v>539151.55656639347</v>
      </c>
      <c r="C55" s="34">
        <f t="shared" si="90"/>
        <v>1.9696821870239645</v>
      </c>
      <c r="D55" s="32">
        <f t="shared" si="91"/>
        <v>721506.40320000122</v>
      </c>
      <c r="E55" s="33">
        <f t="shared" si="92"/>
        <v>966306.00000000047</v>
      </c>
      <c r="F55" s="33">
        <f t="shared" si="93"/>
        <v>366306.00000000047</v>
      </c>
      <c r="G55" s="33"/>
      <c r="H55" s="29">
        <f t="shared" si="94"/>
        <v>0.2298002719168184</v>
      </c>
      <c r="I55" s="32">
        <f t="shared" si="96"/>
        <v>1087812.4032000017</v>
      </c>
      <c r="J55" s="32">
        <f t="shared" si="97"/>
        <v>4407984.2304000016</v>
      </c>
      <c r="K55" s="32">
        <f t="shared" si="87"/>
        <v>1407984.2304000016</v>
      </c>
      <c r="L55">
        <v>5</v>
      </c>
      <c r="M55" s="30">
        <v>275232</v>
      </c>
      <c r="N55" s="30">
        <f t="shared" si="98"/>
        <v>244888.01280000003</v>
      </c>
      <c r="O55" s="30"/>
      <c r="P55" s="30">
        <f t="shared" si="95"/>
        <v>-30343.987199999974</v>
      </c>
      <c r="Q55" s="32">
        <f t="shared" si="99"/>
        <v>-320171.82719999994</v>
      </c>
    </row>
    <row r="56" spans="2:17" x14ac:dyDescent="0.25">
      <c r="B56" s="31">
        <f t="shared" si="89"/>
        <v>681528.77680898656</v>
      </c>
      <c r="C56" s="34">
        <f t="shared" si="90"/>
        <v>2.0883239637047502</v>
      </c>
      <c r="D56" s="32">
        <f t="shared" si="91"/>
        <v>966761.59545600158</v>
      </c>
      <c r="E56" s="33">
        <f t="shared" si="92"/>
        <v>1062936.6000000006</v>
      </c>
      <c r="F56" s="33">
        <f t="shared" si="93"/>
        <v>462936.60000000056</v>
      </c>
      <c r="G56" s="33"/>
      <c r="H56" s="29">
        <f t="shared" si="94"/>
        <v>0.22521800193843378</v>
      </c>
      <c r="I56" s="32">
        <f t="shared" si="96"/>
        <v>1429698.1954560021</v>
      </c>
      <c r="J56" s="32">
        <f t="shared" si="97"/>
        <v>4760622.968832002</v>
      </c>
      <c r="K56" s="32">
        <f t="shared" si="87"/>
        <v>1760622.968832002</v>
      </c>
      <c r="L56">
        <v>6</v>
      </c>
      <c r="M56" s="30">
        <v>275232</v>
      </c>
      <c r="N56" s="30">
        <f t="shared" si="98"/>
        <v>264479.05382400006</v>
      </c>
      <c r="O56" s="30"/>
      <c r="P56" s="30">
        <f t="shared" si="95"/>
        <v>-10752.946175999939</v>
      </c>
      <c r="Q56" s="32">
        <f t="shared" si="99"/>
        <v>-330924.77337599988</v>
      </c>
    </row>
    <row r="57" spans="2:17" x14ac:dyDescent="0.25">
      <c r="B57" s="31">
        <f t="shared" si="89"/>
        <v>832467.38591982145</v>
      </c>
      <c r="C57" s="34">
        <f t="shared" si="90"/>
        <v>2.1989750704617861</v>
      </c>
      <c r="D57" s="32">
        <f t="shared" si="91"/>
        <v>1251723.1510924823</v>
      </c>
      <c r="E57" s="33">
        <f t="shared" si="92"/>
        <v>1169230.2600000007</v>
      </c>
      <c r="F57" s="33">
        <f t="shared" si="93"/>
        <v>569230.26000000071</v>
      </c>
      <c r="G57" s="33"/>
      <c r="H57" s="29">
        <f t="shared" si="94"/>
        <v>0.22052838252011653</v>
      </c>
      <c r="I57" s="32">
        <f t="shared" si="96"/>
        <v>1820953.411092483</v>
      </c>
      <c r="J57" s="32">
        <f t="shared" si="97"/>
        <v>5141472.8063385626</v>
      </c>
      <c r="K57" s="32">
        <f t="shared" si="87"/>
        <v>2141472.8063385626</v>
      </c>
      <c r="L57">
        <v>7</v>
      </c>
      <c r="M57" s="30">
        <v>275232</v>
      </c>
      <c r="N57" s="30">
        <f t="shared" si="98"/>
        <v>285637.37812992011</v>
      </c>
      <c r="O57" s="30"/>
      <c r="P57" s="30">
        <f t="shared" si="95"/>
        <v>10405.378129920107</v>
      </c>
      <c r="Q57" s="32">
        <f t="shared" si="99"/>
        <v>-320519.39524607977</v>
      </c>
    </row>
    <row r="58" spans="2:17" x14ac:dyDescent="0.25">
      <c r="B58" s="31">
        <f t="shared" si="89"/>
        <v>990918.98608013743</v>
      </c>
      <c r="C58" s="34">
        <f t="shared" si="90"/>
        <v>2.3017805936440268</v>
      </c>
      <c r="D58" s="32">
        <f t="shared" si="91"/>
        <v>1579374.3179798815</v>
      </c>
      <c r="E58" s="33">
        <f t="shared" si="92"/>
        <v>1286153.2860000008</v>
      </c>
      <c r="F58" s="33">
        <f t="shared" si="93"/>
        <v>686153.28600000078</v>
      </c>
      <c r="G58" s="33"/>
      <c r="H58" s="29">
        <f t="shared" si="94"/>
        <v>0.21585467291106086</v>
      </c>
      <c r="I58" s="32">
        <f t="shared" si="96"/>
        <v>2265527.6039798823</v>
      </c>
      <c r="J58" s="32">
        <f t="shared" si="97"/>
        <v>5552790.6308456482</v>
      </c>
      <c r="K58" s="32">
        <f t="shared" si="87"/>
        <v>2552790.6308456482</v>
      </c>
      <c r="L58">
        <v>8</v>
      </c>
      <c r="M58" s="30">
        <v>275232</v>
      </c>
      <c r="N58" s="30">
        <f t="shared" si="98"/>
        <v>308488.36838031374</v>
      </c>
      <c r="O58" s="30"/>
      <c r="P58" s="30">
        <f t="shared" si="95"/>
        <v>33256.368380313739</v>
      </c>
      <c r="Q58" s="32">
        <f t="shared" si="99"/>
        <v>-287263.02686576603</v>
      </c>
    </row>
    <row r="59" spans="2:17" x14ac:dyDescent="0.25">
      <c r="B59" s="31">
        <f t="shared" si="89"/>
        <v>1155928.9728302322</v>
      </c>
      <c r="C59" s="34">
        <f t="shared" si="90"/>
        <v>2.3968985092252604</v>
      </c>
      <c r="D59" s="32">
        <f t="shared" si="91"/>
        <v>1952917.6776982727</v>
      </c>
      <c r="E59" s="33">
        <f t="shared" si="92"/>
        <v>1414768.6146000009</v>
      </c>
      <c r="F59" s="33">
        <f t="shared" si="93"/>
        <v>814768.6146000009</v>
      </c>
      <c r="G59" s="33"/>
      <c r="H59" s="29">
        <f t="shared" si="94"/>
        <v>0.21127363497305307</v>
      </c>
      <c r="I59" s="32">
        <f t="shared" si="96"/>
        <v>2767686.2922982736</v>
      </c>
      <c r="J59" s="32">
        <f t="shared" si="97"/>
        <v>5997013.8813133007</v>
      </c>
      <c r="K59" s="32">
        <f t="shared" si="87"/>
        <v>2997013.8813133007</v>
      </c>
      <c r="L59">
        <v>9</v>
      </c>
      <c r="M59" s="30">
        <v>275232</v>
      </c>
      <c r="N59" s="30">
        <f t="shared" si="98"/>
        <v>333167.43785073888</v>
      </c>
      <c r="O59" s="30"/>
      <c r="P59" s="30">
        <f t="shared" si="95"/>
        <v>57935.437850738876</v>
      </c>
      <c r="Q59" s="32">
        <f t="shared" si="99"/>
        <v>-229327.58901502716</v>
      </c>
    </row>
    <row r="60" spans="2:17" x14ac:dyDescent="0.25">
      <c r="B60" s="31">
        <f t="shared" si="89"/>
        <v>1326629.1512162001</v>
      </c>
      <c r="C60" s="34">
        <f t="shared" si="90"/>
        <v>2.4844988228452141</v>
      </c>
      <c r="D60" s="32">
        <f t="shared" si="91"/>
        <v>2375790.7596221343</v>
      </c>
      <c r="E60" s="33">
        <f t="shared" si="92"/>
        <v>1556245.4760600012</v>
      </c>
      <c r="F60" s="33">
        <f t="shared" si="93"/>
        <v>956245.47606000118</v>
      </c>
      <c r="G60" s="33"/>
      <c r="H60" s="29">
        <f t="shared" si="94"/>
        <v>0.20683146875406</v>
      </c>
      <c r="I60" s="32">
        <f t="shared" si="96"/>
        <v>3332036.2356821354</v>
      </c>
      <c r="J60" s="32">
        <f t="shared" si="97"/>
        <v>6476774.9918183647</v>
      </c>
      <c r="K60" s="32">
        <f t="shared" si="87"/>
        <v>3476774.9918183647</v>
      </c>
      <c r="L60">
        <v>10</v>
      </c>
      <c r="M60" s="30">
        <v>275232</v>
      </c>
      <c r="N60" s="30">
        <f t="shared" si="98"/>
        <v>359820.83287879801</v>
      </c>
      <c r="O60" s="30"/>
      <c r="P60" s="30">
        <f t="shared" si="95"/>
        <v>84588.832878798014</v>
      </c>
      <c r="Q60" s="32">
        <f t="shared" si="99"/>
        <v>-144738.75613622915</v>
      </c>
    </row>
    <row r="61" spans="2:17" x14ac:dyDescent="0.25">
      <c r="B61" s="31">
        <f t="shared" si="89"/>
        <v>1502230.8784616471</v>
      </c>
      <c r="C61" s="34">
        <f t="shared" si="90"/>
        <v>2.5647626522642297</v>
      </c>
      <c r="D61" s="32">
        <f t="shared" si="91"/>
        <v>2851682.7108707055</v>
      </c>
      <c r="E61" s="33">
        <f t="shared" si="92"/>
        <v>1711870.0236660014</v>
      </c>
      <c r="F61" s="33">
        <f t="shared" si="93"/>
        <v>1111870.0236660014</v>
      </c>
      <c r="G61" s="33"/>
      <c r="H61" s="29">
        <f t="shared" si="94"/>
        <v>0.20255434323271015</v>
      </c>
      <c r="I61" s="32">
        <f t="shared" si="96"/>
        <v>3963552.7345367069</v>
      </c>
      <c r="J61" s="32">
        <f t="shared" si="97"/>
        <v>6994916.991163834</v>
      </c>
      <c r="K61" s="32">
        <f t="shared" si="87"/>
        <v>3994916.991163834</v>
      </c>
      <c r="L61">
        <v>11</v>
      </c>
      <c r="M61" s="30">
        <v>275232</v>
      </c>
      <c r="N61" s="30">
        <f t="shared" si="98"/>
        <v>388606.49950910191</v>
      </c>
      <c r="O61" s="30"/>
      <c r="P61" s="30">
        <f t="shared" si="95"/>
        <v>113374.49950910191</v>
      </c>
      <c r="Q61" s="32">
        <f t="shared" si="99"/>
        <v>-31364.256627127237</v>
      </c>
    </row>
    <row r="62" spans="2:17" x14ac:dyDescent="0.25">
      <c r="B62" s="31">
        <f t="shared" si="89"/>
        <v>1682018.6968023106</v>
      </c>
      <c r="C62" s="34">
        <f t="shared" si="90"/>
        <v>2.6378812621700596</v>
      </c>
      <c r="D62" s="32">
        <f t="shared" si="91"/>
        <v>3384552.0872670421</v>
      </c>
      <c r="E62" s="33">
        <f t="shared" si="92"/>
        <v>1883057.0260326017</v>
      </c>
      <c r="F62" s="33">
        <f t="shared" si="93"/>
        <v>1283057.0260326017</v>
      </c>
      <c r="G62" s="33"/>
      <c r="H62" s="29">
        <f t="shared" si="94"/>
        <v>0.19845534731634462</v>
      </c>
      <c r="I62" s="32">
        <f t="shared" si="96"/>
        <v>4667609.1132996436</v>
      </c>
      <c r="J62" s="32">
        <f t="shared" si="97"/>
        <v>7554510.3504569409</v>
      </c>
      <c r="K62" s="32">
        <f t="shared" si="87"/>
        <v>4554510.3504569409</v>
      </c>
      <c r="L62">
        <v>12</v>
      </c>
      <c r="M62" s="30">
        <v>275232</v>
      </c>
      <c r="N62" s="30">
        <f t="shared" si="98"/>
        <v>419695.01946983009</v>
      </c>
      <c r="O62" s="30"/>
      <c r="P62" s="30">
        <f t="shared" si="95"/>
        <v>144463.01946983009</v>
      </c>
      <c r="Q62" s="32">
        <f t="shared" si="99"/>
        <v>113098.76284270285</v>
      </c>
    </row>
    <row r="63" spans="2:17" x14ac:dyDescent="0.25">
      <c r="B63" s="31">
        <f t="shared" si="89"/>
        <v>1865344.4225339305</v>
      </c>
      <c r="C63" s="34">
        <f t="shared" si="90"/>
        <v>2.7040550615390799</v>
      </c>
      <c r="D63" s="32">
        <f t="shared" si="91"/>
        <v>3978645.8337277542</v>
      </c>
      <c r="E63" s="33">
        <f t="shared" si="92"/>
        <v>2071362.728635862</v>
      </c>
      <c r="F63" s="33">
        <f t="shared" si="93"/>
        <v>1471362.728635862</v>
      </c>
      <c r="G63" s="33"/>
      <c r="H63" s="29">
        <f t="shared" si="94"/>
        <v>0.19453908558782285</v>
      </c>
      <c r="I63" s="32">
        <f t="shared" si="96"/>
        <v>5450008.5623636162</v>
      </c>
      <c r="J63" s="32">
        <f t="shared" si="97"/>
        <v>8158871.178493497</v>
      </c>
      <c r="K63" s="32">
        <f t="shared" si="87"/>
        <v>5158871.178493497</v>
      </c>
      <c r="L63">
        <v>13</v>
      </c>
      <c r="M63" s="30">
        <v>275232</v>
      </c>
      <c r="N63" s="30">
        <f t="shared" si="98"/>
        <v>453270.62102741655</v>
      </c>
      <c r="O63" s="30"/>
      <c r="P63" s="30">
        <f t="shared" si="95"/>
        <v>178038.62102741655</v>
      </c>
      <c r="Q63" s="32">
        <f t="shared" si="99"/>
        <v>291137.3838701194</v>
      </c>
    </row>
    <row r="64" spans="2:17" x14ac:dyDescent="0.25">
      <c r="B64" s="31">
        <f t="shared" si="89"/>
        <v>2051621.6595788389</v>
      </c>
      <c r="C64" s="34">
        <f t="shared" si="90"/>
        <v>2.7634925738469569</v>
      </c>
      <c r="D64" s="32">
        <f t="shared" si="91"/>
        <v>4638519.5258532576</v>
      </c>
      <c r="E64" s="33">
        <f t="shared" si="92"/>
        <v>2278499.0014994484</v>
      </c>
      <c r="F64" s="33">
        <f t="shared" si="93"/>
        <v>1678499.0014994484</v>
      </c>
      <c r="G64" s="33"/>
      <c r="H64" s="29">
        <f t="shared" si="94"/>
        <v>0.19080472490579381</v>
      </c>
      <c r="I64" s="32">
        <f t="shared" si="96"/>
        <v>6317018.5273527056</v>
      </c>
      <c r="J64" s="32">
        <f t="shared" si="97"/>
        <v>8811580.8727729768</v>
      </c>
      <c r="K64" s="32">
        <f t="shared" si="87"/>
        <v>5811580.8727729768</v>
      </c>
      <c r="L64">
        <v>14</v>
      </c>
      <c r="M64" s="30">
        <v>275232</v>
      </c>
      <c r="N64" s="30">
        <f t="shared" si="98"/>
        <v>489532.2707096099</v>
      </c>
      <c r="O64" s="30"/>
      <c r="P64" s="30">
        <f t="shared" si="95"/>
        <v>214300.2707096099</v>
      </c>
      <c r="Q64" s="32">
        <f t="shared" si="99"/>
        <v>505437.65457972931</v>
      </c>
    </row>
    <row r="65" spans="2:17" x14ac:dyDescent="0.25">
      <c r="B65" s="31">
        <f t="shared" si="89"/>
        <v>2240320.7079846556</v>
      </c>
      <c r="C65" s="34">
        <f t="shared" si="90"/>
        <v>2.8164093903514527</v>
      </c>
      <c r="D65" s="32">
        <f t="shared" si="91"/>
        <v>5369058.9478915296</v>
      </c>
      <c r="E65" s="33">
        <f t="shared" si="92"/>
        <v>2506348.9016493936</v>
      </c>
      <c r="F65" s="33">
        <f t="shared" si="93"/>
        <v>1906348.9016493936</v>
      </c>
      <c r="G65" s="33"/>
      <c r="H65" s="29">
        <f t="shared" si="94"/>
        <v>0.18724801894427934</v>
      </c>
      <c r="I65" s="32">
        <f t="shared" si="96"/>
        <v>7275407.8495409237</v>
      </c>
      <c r="J65" s="32">
        <f t="shared" si="97"/>
        <v>9516507.3425948154</v>
      </c>
      <c r="K65" s="32">
        <f t="shared" si="87"/>
        <v>6516507.3425948154</v>
      </c>
      <c r="L65">
        <v>15</v>
      </c>
      <c r="M65" s="30">
        <v>275232</v>
      </c>
      <c r="N65" s="30">
        <f t="shared" si="98"/>
        <v>528694.85236637876</v>
      </c>
      <c r="O65" s="30"/>
      <c r="P65" s="30">
        <f t="shared" si="95"/>
        <v>253462.85236637876</v>
      </c>
      <c r="Q65" s="32">
        <f t="shared" si="99"/>
        <v>758900.50694610807</v>
      </c>
    </row>
    <row r="66" spans="2:17" x14ac:dyDescent="0.25">
      <c r="B66" s="31">
        <f t="shared" si="89"/>
        <v>2539307.8936974183</v>
      </c>
      <c r="C66" s="34">
        <f t="shared" si="90"/>
        <v>2.9906275189318277</v>
      </c>
      <c r="D66" s="32">
        <f t="shared" si="91"/>
        <v>6450735.0856898651</v>
      </c>
      <c r="E66" s="33">
        <f t="shared" si="92"/>
        <v>2756983.7918143333</v>
      </c>
      <c r="F66" s="33">
        <f t="shared" si="93"/>
        <v>2156983.7918143333</v>
      </c>
      <c r="G66" s="33"/>
      <c r="H66" s="29">
        <f t="shared" si="94"/>
        <v>0.18611022568090796</v>
      </c>
      <c r="I66" s="32">
        <f>K66+Q66</f>
        <v>8607718.8775041979</v>
      </c>
      <c r="J66" s="32">
        <f t="shared" si="97"/>
        <v>10277827.930002401</v>
      </c>
      <c r="K66" s="32">
        <f t="shared" si="87"/>
        <v>7277827.9300024007</v>
      </c>
      <c r="L66">
        <v>16</v>
      </c>
      <c r="M66" s="30">
        <v>0</v>
      </c>
      <c r="N66" s="30">
        <f t="shared" si="98"/>
        <v>570990.44055568916</v>
      </c>
      <c r="O66" s="30"/>
      <c r="P66" s="30">
        <f t="shared" si="95"/>
        <v>570990.44055568916</v>
      </c>
      <c r="Q66" s="32">
        <f t="shared" si="99"/>
        <v>1329890.9475017972</v>
      </c>
    </row>
    <row r="67" spans="2:17" x14ac:dyDescent="0.25">
      <c r="B67" s="31">
        <f t="shared" si="89"/>
        <v>2827543.659440456</v>
      </c>
      <c r="C67" s="34">
        <f t="shared" si="90"/>
        <v>3.1298509552491875</v>
      </c>
      <c r="D67" s="32">
        <f t="shared" si="91"/>
        <v>7613932.6167087685</v>
      </c>
      <c r="E67" s="33">
        <f t="shared" si="92"/>
        <v>3032682.1709957668</v>
      </c>
      <c r="F67" s="33">
        <f t="shared" si="93"/>
        <v>2432682.1709957668</v>
      </c>
      <c r="G67" s="33"/>
      <c r="H67" s="29">
        <f t="shared" si="94"/>
        <v>0.18433382955380728</v>
      </c>
      <c r="I67" s="32">
        <f>K67+Q67</f>
        <v>10046614.787704535</v>
      </c>
      <c r="J67" s="32">
        <f t="shared" si="97"/>
        <v>11100054.164402593</v>
      </c>
      <c r="K67" s="32">
        <f t="shared" si="87"/>
        <v>8100054.1644025929</v>
      </c>
      <c r="L67">
        <v>17</v>
      </c>
      <c r="M67" s="30">
        <v>0</v>
      </c>
      <c r="N67" s="30">
        <f t="shared" si="98"/>
        <v>616669.67580014432</v>
      </c>
      <c r="O67" s="30"/>
      <c r="P67" s="30">
        <f t="shared" si="95"/>
        <v>616669.67580014432</v>
      </c>
      <c r="Q67" s="32">
        <f t="shared" si="99"/>
        <v>1946560.6233019414</v>
      </c>
    </row>
    <row r="68" spans="2:17" x14ac:dyDescent="0.25">
      <c r="B68" s="31">
        <f t="shared" si="89"/>
        <v>3105682.7895098771</v>
      </c>
      <c r="C68" s="34">
        <f t="shared" si="90"/>
        <v>3.2400704417731698</v>
      </c>
      <c r="D68" s="32">
        <f t="shared" si="91"/>
        <v>8864671.9826255552</v>
      </c>
      <c r="E68" s="33">
        <f t="shared" si="92"/>
        <v>3335950.3880953435</v>
      </c>
      <c r="F68" s="33">
        <f t="shared" si="93"/>
        <v>2735950.3880953435</v>
      </c>
      <c r="G68" s="33"/>
      <c r="H68" s="29">
        <f t="shared" si="94"/>
        <v>0.18216877843483092</v>
      </c>
      <c r="I68" s="32">
        <f t="shared" ref="I68:I75" si="100">K68+Q68</f>
        <v>11600622.370720899</v>
      </c>
      <c r="J68" s="32">
        <f t="shared" si="97"/>
        <v>11988058.497554801</v>
      </c>
      <c r="K68" s="32">
        <f t="shared" si="87"/>
        <v>8988058.4975548014</v>
      </c>
      <c r="L68">
        <v>18</v>
      </c>
      <c r="M68" s="30">
        <v>0</v>
      </c>
      <c r="N68" s="30">
        <f t="shared" si="98"/>
        <v>666003.24986415589</v>
      </c>
      <c r="O68" s="30"/>
      <c r="P68" s="30">
        <f t="shared" si="95"/>
        <v>666003.24986415589</v>
      </c>
      <c r="Q68" s="32">
        <f t="shared" si="99"/>
        <v>2612563.8731660973</v>
      </c>
    </row>
    <row r="69" spans="2:17" x14ac:dyDescent="0.25">
      <c r="B69" s="31">
        <f t="shared" si="89"/>
        <v>3374341.2260708809</v>
      </c>
      <c r="C69" s="34">
        <f t="shared" si="90"/>
        <v>3.3260316149704838</v>
      </c>
      <c r="D69" s="32">
        <f t="shared" si="91"/>
        <v>10209405.133473694</v>
      </c>
      <c r="E69" s="33">
        <f t="shared" si="92"/>
        <v>3669545.4269048781</v>
      </c>
      <c r="F69" s="33">
        <f t="shared" si="93"/>
        <v>3069545.4269048781</v>
      </c>
      <c r="G69" s="33"/>
      <c r="H69" s="29">
        <f t="shared" si="94"/>
        <v>0.17977797202288848</v>
      </c>
      <c r="I69" s="32">
        <f t="shared" si="100"/>
        <v>13278950.560378572</v>
      </c>
      <c r="J69" s="32">
        <f t="shared" si="97"/>
        <v>12947103.177359186</v>
      </c>
      <c r="K69" s="32">
        <f t="shared" si="87"/>
        <v>9947103.1773591861</v>
      </c>
      <c r="L69">
        <v>19</v>
      </c>
      <c r="M69" s="30">
        <v>0</v>
      </c>
      <c r="N69" s="30">
        <f t="shared" si="98"/>
        <v>719283.50985328841</v>
      </c>
      <c r="O69" s="30"/>
      <c r="P69" s="30">
        <f t="shared" si="95"/>
        <v>719283.50985328841</v>
      </c>
      <c r="Q69" s="32">
        <f t="shared" si="99"/>
        <v>3331847.3830193859</v>
      </c>
    </row>
    <row r="70" spans="2:17" x14ac:dyDescent="0.25">
      <c r="B70" s="31">
        <f t="shared" si="89"/>
        <v>3634098.1341744773</v>
      </c>
      <c r="C70" s="34">
        <f t="shared" si="90"/>
        <v>3.3915452171488965</v>
      </c>
      <c r="D70" s="32">
        <f t="shared" si="91"/>
        <v>11655045.035613492</v>
      </c>
      <c r="E70" s="33">
        <f t="shared" si="92"/>
        <v>4036499.9695953662</v>
      </c>
      <c r="F70" s="33">
        <f t="shared" si="93"/>
        <v>3436499.9695953662</v>
      </c>
      <c r="G70" s="33"/>
      <c r="H70" s="29">
        <f t="shared" si="94"/>
        <v>0.17726903943723604</v>
      </c>
      <c r="I70" s="32">
        <f t="shared" si="100"/>
        <v>15091545.005208857</v>
      </c>
      <c r="J70" s="32">
        <f t="shared" si="97"/>
        <v>13982871.431547921</v>
      </c>
      <c r="K70" s="32">
        <f t="shared" si="87"/>
        <v>10982871.431547921</v>
      </c>
      <c r="L70">
        <v>20</v>
      </c>
      <c r="M70" s="30">
        <v>0</v>
      </c>
      <c r="N70" s="30">
        <f t="shared" si="98"/>
        <v>776826.19064155151</v>
      </c>
      <c r="O70" s="30"/>
      <c r="P70" s="30">
        <f t="shared" si="95"/>
        <v>776826.19064155151</v>
      </c>
      <c r="Q70" s="32">
        <f t="shared" si="99"/>
        <v>4108673.5736609371</v>
      </c>
    </row>
    <row r="71" spans="2:17" x14ac:dyDescent="0.25">
      <c r="B71" s="31">
        <f t="shared" si="89"/>
        <v>3885497.8435910605</v>
      </c>
      <c r="C71" s="34">
        <f t="shared" si="90"/>
        <v>3.4397086452643917</v>
      </c>
      <c r="D71" s="32">
        <f t="shared" si="91"/>
        <v>13208997.039070666</v>
      </c>
      <c r="E71" s="33">
        <f t="shared" si="92"/>
        <v>4440149.9665549034</v>
      </c>
      <c r="F71" s="33">
        <f t="shared" si="93"/>
        <v>3840149.9665549034</v>
      </c>
      <c r="G71" s="33"/>
      <c r="H71" s="29">
        <f t="shared" si="94"/>
        <v>0.17471366938560196</v>
      </c>
      <c r="I71" s="32">
        <f t="shared" si="100"/>
        <v>17049147.005625568</v>
      </c>
      <c r="J71" s="32">
        <f t="shared" si="97"/>
        <v>15101501.146071756</v>
      </c>
      <c r="K71" s="32">
        <f t="shared" si="87"/>
        <v>12101501.146071756</v>
      </c>
      <c r="L71">
        <v>21</v>
      </c>
      <c r="M71" s="30">
        <v>0</v>
      </c>
      <c r="N71" s="30">
        <f t="shared" si="98"/>
        <v>838972.28589287563</v>
      </c>
      <c r="O71" s="30"/>
      <c r="P71" s="30">
        <f t="shared" si="95"/>
        <v>838972.28589287563</v>
      </c>
      <c r="Q71" s="32">
        <f t="shared" si="99"/>
        <v>4947645.859553813</v>
      </c>
    </row>
    <row r="72" spans="2:17" x14ac:dyDescent="0.25">
      <c r="B72" s="31">
        <f t="shared" si="89"/>
        <v>4129051.6741722538</v>
      </c>
      <c r="C72" s="34">
        <f t="shared" si="90"/>
        <v>3.4730670575568374</v>
      </c>
      <c r="D72" s="32">
        <f t="shared" si="91"/>
        <v>14879192.202865222</v>
      </c>
      <c r="E72" s="33">
        <f t="shared" si="92"/>
        <v>4884164.9632103946</v>
      </c>
      <c r="F72" s="33">
        <f t="shared" si="93"/>
        <v>4284164.9632103946</v>
      </c>
      <c r="G72" s="33"/>
      <c r="H72" s="29">
        <f t="shared" si="94"/>
        <v>0.17215972216297848</v>
      </c>
      <c r="I72" s="32">
        <f t="shared" si="100"/>
        <v>19163357.166075617</v>
      </c>
      <c r="J72" s="32">
        <f t="shared" si="97"/>
        <v>16309621.237757498</v>
      </c>
      <c r="K72" s="32">
        <f t="shared" si="87"/>
        <v>13309621.237757498</v>
      </c>
      <c r="L72">
        <v>22</v>
      </c>
      <c r="M72" s="30">
        <v>0</v>
      </c>
      <c r="N72" s="30">
        <f t="shared" si="98"/>
        <v>906090.06876430579</v>
      </c>
      <c r="O72" s="30"/>
      <c r="P72" s="30">
        <f t="shared" si="95"/>
        <v>906090.06876430579</v>
      </c>
      <c r="Q72" s="32">
        <f t="shared" si="99"/>
        <v>5853735.9283181187</v>
      </c>
    </row>
    <row r="73" spans="2:17" x14ac:dyDescent="0.25">
      <c r="B73" s="31">
        <f t="shared" si="89"/>
        <v>4365239.6510622259</v>
      </c>
      <c r="C73" s="34">
        <f t="shared" si="90"/>
        <v>3.4937324425400749</v>
      </c>
      <c r="D73" s="32">
        <f t="shared" si="91"/>
        <v>16674122.679830234</v>
      </c>
      <c r="E73" s="33">
        <f t="shared" si="92"/>
        <v>5372581.4595314348</v>
      </c>
      <c r="F73" s="33">
        <f t="shared" si="93"/>
        <v>4772581.4595314348</v>
      </c>
      <c r="G73" s="33"/>
      <c r="H73" s="29">
        <f t="shared" si="94"/>
        <v>0.16963900996547565</v>
      </c>
      <c r="I73" s="32">
        <f t="shared" si="100"/>
        <v>21446704.139361668</v>
      </c>
      <c r="J73" s="32">
        <f t="shared" si="97"/>
        <v>17614390.936778098</v>
      </c>
      <c r="K73" s="32">
        <f t="shared" si="87"/>
        <v>14614390.936778098</v>
      </c>
      <c r="L73">
        <v>23</v>
      </c>
      <c r="M73" s="30">
        <v>0</v>
      </c>
      <c r="N73" s="30">
        <f t="shared" si="98"/>
        <v>978577.27426545031</v>
      </c>
      <c r="O73" s="30"/>
      <c r="P73" s="30">
        <f t="shared" si="95"/>
        <v>978577.27426545031</v>
      </c>
      <c r="Q73" s="32">
        <f t="shared" si="99"/>
        <v>6832313.2025835691</v>
      </c>
    </row>
    <row r="74" spans="2:17" x14ac:dyDescent="0.25">
      <c r="B74" s="31">
        <f t="shared" si="89"/>
        <v>4594512.1157111945</v>
      </c>
      <c r="C74" s="34">
        <f t="shared" si="90"/>
        <v>3.5034729195606866</v>
      </c>
      <c r="D74" s="32">
        <f t="shared" si="91"/>
        <v>18602879.265026022</v>
      </c>
      <c r="E74" s="33">
        <f t="shared" si="92"/>
        <v>5909839.6054845788</v>
      </c>
      <c r="F74" s="33">
        <f t="shared" si="93"/>
        <v>5309839.6054845788</v>
      </c>
      <c r="G74" s="33"/>
      <c r="H74" s="29">
        <f t="shared" si="94"/>
        <v>0.16717240123784083</v>
      </c>
      <c r="I74" s="32">
        <f t="shared" si="100"/>
        <v>23912718.870510601</v>
      </c>
      <c r="J74" s="32">
        <f t="shared" si="97"/>
        <v>19023542.211720347</v>
      </c>
      <c r="K74" s="32">
        <f t="shared" si="87"/>
        <v>16023542.211720347</v>
      </c>
      <c r="L74">
        <v>24</v>
      </c>
      <c r="M74" s="30">
        <v>0</v>
      </c>
      <c r="N74" s="30">
        <f t="shared" si="98"/>
        <v>1056863.4562066863</v>
      </c>
      <c r="O74" s="30"/>
      <c r="P74" s="30">
        <f t="shared" si="95"/>
        <v>1056863.4562066863</v>
      </c>
      <c r="Q74" s="32">
        <f t="shared" si="99"/>
        <v>7889176.658790255</v>
      </c>
    </row>
    <row r="75" spans="2:17" x14ac:dyDescent="0.25">
      <c r="B75" s="31">
        <f t="shared" si="89"/>
        <v>4817291.2382957581</v>
      </c>
      <c r="C75" s="34">
        <f t="shared" si="90"/>
        <v>3.5037806134606697</v>
      </c>
      <c r="D75" s="32">
        <f t="shared" si="91"/>
        <v>20675191.214118414</v>
      </c>
      <c r="E75" s="33">
        <f t="shared" si="92"/>
        <v>6500823.5660330374</v>
      </c>
      <c r="F75" s="33">
        <f t="shared" si="93"/>
        <v>5900823.5660330374</v>
      </c>
      <c r="G75" s="33"/>
      <c r="H75" s="29">
        <f t="shared" si="94"/>
        <v>0.1647732302676157</v>
      </c>
      <c r="I75" s="32">
        <f t="shared" si="100"/>
        <v>26576014.780151449</v>
      </c>
      <c r="J75" s="32">
        <f t="shared" si="97"/>
        <v>20545425.588657975</v>
      </c>
      <c r="K75" s="32">
        <f t="shared" si="87"/>
        <v>17545425.588657975</v>
      </c>
      <c r="L75">
        <v>25</v>
      </c>
      <c r="M75" s="30">
        <v>0</v>
      </c>
      <c r="N75" s="30">
        <f t="shared" si="98"/>
        <v>1141412.5327032213</v>
      </c>
      <c r="O75" s="30"/>
      <c r="P75" s="30">
        <f t="shared" si="95"/>
        <v>1141412.5327032213</v>
      </c>
      <c r="Q75" s="32">
        <f t="shared" si="99"/>
        <v>9030589.1914934758</v>
      </c>
    </row>
    <row r="76" spans="2:17" x14ac:dyDescent="0.25">
      <c r="B76" s="31">
        <f t="shared" ref="B76:B88" si="101">D76/(1.06)^L76</f>
        <v>5033972.4368219078</v>
      </c>
      <c r="C76" s="34">
        <f t="shared" ref="C76:C88" si="102">(I76-F76)/F76</f>
        <v>3.4959238783741804</v>
      </c>
      <c r="D76" s="32">
        <f t="shared" ref="D76:D88" si="103">I76-F76</f>
        <v>22901468.439927228</v>
      </c>
      <c r="E76" s="33">
        <f t="shared" ref="E76:E88" si="104">E75*1.1</f>
        <v>7150905.9226363413</v>
      </c>
      <c r="F76" s="33">
        <f t="shared" si="93"/>
        <v>6550905.9226363413</v>
      </c>
      <c r="G76" s="33"/>
      <c r="H76" s="29">
        <f t="shared" ref="H76:H88" si="105">((I76/600000)+1)^(1/L76) -1</f>
        <v>0.16244961006564207</v>
      </c>
      <c r="I76" s="32">
        <f t="shared" ref="I76:I88" si="106">K76+Q76</f>
        <v>29452374.362563569</v>
      </c>
      <c r="J76" s="32">
        <f t="shared" ref="J76:J88" si="107">J75*1.08</f>
        <v>22189059.635750614</v>
      </c>
      <c r="K76" s="32">
        <f t="shared" si="87"/>
        <v>19189059.635750614</v>
      </c>
      <c r="L76">
        <v>26</v>
      </c>
      <c r="M76" s="30">
        <v>0</v>
      </c>
      <c r="N76" s="30">
        <f t="shared" ref="N76:N88" si="108">N75*1.08</f>
        <v>1232725.5353194792</v>
      </c>
      <c r="O76" s="30"/>
      <c r="P76" s="30">
        <f t="shared" ref="P76:P88" si="109">N76-M76</f>
        <v>1232725.5353194792</v>
      </c>
      <c r="Q76" s="32">
        <f t="shared" ref="Q76:Q88" si="110">P76+Q75</f>
        <v>10263314.726812955</v>
      </c>
    </row>
    <row r="77" spans="2:17" x14ac:dyDescent="0.25">
      <c r="B77" s="31">
        <f t="shared" si="101"/>
        <v>5244925.7078759857</v>
      </c>
      <c r="C77" s="34">
        <f t="shared" si="102"/>
        <v>3.4809879339746512</v>
      </c>
      <c r="D77" s="32">
        <f t="shared" si="103"/>
        <v>25292846.196668681</v>
      </c>
      <c r="E77" s="33">
        <f t="shared" si="104"/>
        <v>7865996.5148999756</v>
      </c>
      <c r="F77" s="33">
        <f t="shared" si="93"/>
        <v>7265996.5148999756</v>
      </c>
      <c r="G77" s="33"/>
      <c r="H77" s="29">
        <f t="shared" si="105"/>
        <v>0.16020602205285495</v>
      </c>
      <c r="I77" s="32">
        <f t="shared" si="106"/>
        <v>32558842.711568657</v>
      </c>
      <c r="J77" s="32">
        <f t="shared" si="107"/>
        <v>23964184.406610664</v>
      </c>
      <c r="K77" s="32">
        <f t="shared" si="87"/>
        <v>20964184.406610664</v>
      </c>
      <c r="L77">
        <v>27</v>
      </c>
      <c r="M77" s="30">
        <v>0</v>
      </c>
      <c r="N77" s="30">
        <f t="shared" si="108"/>
        <v>1331343.5781450376</v>
      </c>
      <c r="O77" s="30"/>
      <c r="P77" s="30">
        <f t="shared" si="109"/>
        <v>1331343.5781450376</v>
      </c>
      <c r="Q77" s="32">
        <f t="shared" si="110"/>
        <v>11594658.304957993</v>
      </c>
    </row>
    <row r="78" spans="2:17" x14ac:dyDescent="0.25">
      <c r="B78" s="31">
        <f t="shared" si="101"/>
        <v>5450496.8736952972</v>
      </c>
      <c r="C78" s="34">
        <f t="shared" si="102"/>
        <v>3.4599068159398998</v>
      </c>
      <c r="D78" s="32">
        <f t="shared" si="103"/>
        <v>27861232.362104177</v>
      </c>
      <c r="E78" s="33">
        <f t="shared" si="104"/>
        <v>8652596.1663899738</v>
      </c>
      <c r="F78" s="33">
        <f t="shared" si="93"/>
        <v>8052596.1663899738</v>
      </c>
      <c r="G78" s="33"/>
      <c r="H78" s="29">
        <f t="shared" si="105"/>
        <v>0.15804442091208859</v>
      </c>
      <c r="I78" s="32">
        <f t="shared" si="106"/>
        <v>35913828.528494149</v>
      </c>
      <c r="J78" s="32">
        <f t="shared" si="107"/>
        <v>25881319.159139518</v>
      </c>
      <c r="K78" s="32">
        <f t="shared" si="87"/>
        <v>22881319.159139518</v>
      </c>
      <c r="L78">
        <v>28</v>
      </c>
      <c r="M78" s="30">
        <v>0</v>
      </c>
      <c r="N78" s="30">
        <f t="shared" si="108"/>
        <v>1437851.0643966408</v>
      </c>
      <c r="O78" s="30"/>
      <c r="P78" s="30">
        <f t="shared" si="109"/>
        <v>1437851.0643966408</v>
      </c>
      <c r="Q78" s="32">
        <f t="shared" si="110"/>
        <v>13032509.369354634</v>
      </c>
    </row>
    <row r="79" spans="2:17" x14ac:dyDescent="0.25">
      <c r="B79" s="31">
        <f t="shared" si="101"/>
        <v>5651008.7499527838</v>
      </c>
      <c r="C79" s="34">
        <f t="shared" si="102"/>
        <v>3.4334887413199207</v>
      </c>
      <c r="D79" s="32">
        <f t="shared" si="103"/>
        <v>30619357.42774472</v>
      </c>
      <c r="E79" s="33">
        <f t="shared" si="104"/>
        <v>9517855.7830289714</v>
      </c>
      <c r="F79" s="33">
        <f t="shared" si="93"/>
        <v>8917855.7830289714</v>
      </c>
      <c r="G79" s="33"/>
      <c r="H79" s="29">
        <f t="shared" si="105"/>
        <v>0.15596500963458726</v>
      </c>
      <c r="I79" s="32">
        <f t="shared" si="106"/>
        <v>39537213.210773692</v>
      </c>
      <c r="J79" s="32">
        <f t="shared" si="107"/>
        <v>27951824.691870682</v>
      </c>
      <c r="K79" s="32">
        <f t="shared" si="87"/>
        <v>24951824.691870682</v>
      </c>
      <c r="L79">
        <v>29</v>
      </c>
      <c r="M79" s="30">
        <v>0</v>
      </c>
      <c r="N79" s="30">
        <f t="shared" si="108"/>
        <v>1552879.149548372</v>
      </c>
      <c r="O79" s="30"/>
      <c r="P79" s="30">
        <f t="shared" si="109"/>
        <v>1552879.149548372</v>
      </c>
      <c r="Q79" s="32">
        <f t="shared" si="110"/>
        <v>14585388.518903006</v>
      </c>
    </row>
    <row r="80" spans="2:17" x14ac:dyDescent="0.25">
      <c r="B80" s="31">
        <f t="shared" si="101"/>
        <v>5846762.2383879432</v>
      </c>
      <c r="C80" s="34">
        <f t="shared" si="102"/>
        <v>3.4024364287307929</v>
      </c>
      <c r="D80" s="32">
        <f t="shared" si="103"/>
        <v>33580827.306303725</v>
      </c>
      <c r="E80" s="33">
        <f t="shared" si="104"/>
        <v>10469641.361331869</v>
      </c>
      <c r="F80" s="33">
        <f t="shared" si="93"/>
        <v>9869641.3613318689</v>
      </c>
      <c r="G80" s="33"/>
      <c r="H80" s="29">
        <f t="shared" si="105"/>
        <v>0.15396678731785673</v>
      </c>
      <c r="I80" s="32">
        <f t="shared" si="106"/>
        <v>43450468.66763559</v>
      </c>
      <c r="J80" s="32">
        <f t="shared" si="107"/>
        <v>30187970.667220339</v>
      </c>
      <c r="K80" s="32">
        <f t="shared" si="87"/>
        <v>27187970.667220339</v>
      </c>
      <c r="L80">
        <v>30</v>
      </c>
      <c r="M80" s="30">
        <v>0</v>
      </c>
      <c r="N80" s="30">
        <f t="shared" si="108"/>
        <v>1677109.481512242</v>
      </c>
      <c r="O80" s="30"/>
      <c r="P80" s="30">
        <f t="shared" si="109"/>
        <v>1677109.481512242</v>
      </c>
      <c r="Q80" s="32">
        <f t="shared" si="110"/>
        <v>16262498.000415247</v>
      </c>
    </row>
    <row r="81" spans="2:17" x14ac:dyDescent="0.25">
      <c r="B81" s="31">
        <f t="shared" si="101"/>
        <v>6038037.3481684048</v>
      </c>
      <c r="C81" s="34">
        <f t="shared" si="102"/>
        <v>3.3673635153452648</v>
      </c>
      <c r="D81" s="32">
        <f t="shared" si="103"/>
        <v>36760179.063581377</v>
      </c>
      <c r="E81" s="33">
        <f t="shared" si="104"/>
        <v>11516605.497465057</v>
      </c>
      <c r="F81" s="33">
        <f t="shared" si="93"/>
        <v>10916605.497465057</v>
      </c>
      <c r="G81" s="33"/>
      <c r="H81" s="29">
        <f t="shared" si="105"/>
        <v>0.15204793859667776</v>
      </c>
      <c r="I81" s="32">
        <f t="shared" si="106"/>
        <v>47676784.561046436</v>
      </c>
      <c r="J81" s="32">
        <f t="shared" si="107"/>
        <v>32603008.320597969</v>
      </c>
      <c r="K81" s="32">
        <f t="shared" si="87"/>
        <v>29603008.320597969</v>
      </c>
      <c r="L81">
        <v>31</v>
      </c>
      <c r="M81" s="30">
        <v>0</v>
      </c>
      <c r="N81" s="30">
        <f t="shared" si="108"/>
        <v>1811278.2400332214</v>
      </c>
      <c r="O81" s="30"/>
      <c r="P81" s="30">
        <f t="shared" si="109"/>
        <v>1811278.2400332214</v>
      </c>
      <c r="Q81" s="32">
        <f t="shared" si="110"/>
        <v>18073776.240448467</v>
      </c>
    </row>
    <row r="82" spans="2:17" x14ac:dyDescent="0.25">
      <c r="B82" s="31">
        <f t="shared" si="101"/>
        <v>6225094.1496321708</v>
      </c>
      <c r="C82" s="34">
        <f t="shared" si="102"/>
        <v>3.3288079266367152</v>
      </c>
      <c r="D82" s="32">
        <f t="shared" si="103"/>
        <v>40172939.678718589</v>
      </c>
      <c r="E82" s="33">
        <f t="shared" si="104"/>
        <v>12668266.047211563</v>
      </c>
      <c r="F82" s="33">
        <f t="shared" si="93"/>
        <v>12068266.047211563</v>
      </c>
      <c r="G82" s="33"/>
      <c r="H82" s="29">
        <f t="shared" si="105"/>
        <v>0.15020611160648634</v>
      </c>
      <c r="I82" s="32">
        <f t="shared" si="106"/>
        <v>52241205.725930154</v>
      </c>
      <c r="J82" s="32">
        <f t="shared" si="107"/>
        <v>35211248.986245811</v>
      </c>
      <c r="K82" s="32">
        <f t="shared" si="87"/>
        <v>32211248.986245811</v>
      </c>
      <c r="L82">
        <v>32</v>
      </c>
      <c r="M82" s="30">
        <v>0</v>
      </c>
      <c r="N82" s="30">
        <f t="shared" si="108"/>
        <v>1956180.4992358792</v>
      </c>
      <c r="O82" s="30"/>
      <c r="P82" s="30">
        <f t="shared" si="109"/>
        <v>1956180.4992358792</v>
      </c>
      <c r="Q82" s="32">
        <f t="shared" si="110"/>
        <v>20029956.739684347</v>
      </c>
    </row>
    <row r="83" spans="2:17" x14ac:dyDescent="0.25">
      <c r="B83" s="31">
        <f t="shared" si="101"/>
        <v>6408173.6638388932</v>
      </c>
      <c r="C83" s="34">
        <f t="shared" si="102"/>
        <v>3.2872428468443031</v>
      </c>
      <c r="D83" s="32">
        <f t="shared" si="103"/>
        <v>43835687.932071865</v>
      </c>
      <c r="E83" s="33">
        <f t="shared" si="104"/>
        <v>13935092.65193272</v>
      </c>
      <c r="F83" s="33">
        <f t="shared" si="93"/>
        <v>13335092.65193272</v>
      </c>
      <c r="G83" s="33"/>
      <c r="H83" s="29">
        <f t="shared" si="105"/>
        <v>0.14843861680532844</v>
      </c>
      <c r="I83" s="32">
        <f t="shared" si="106"/>
        <v>57170780.584004581</v>
      </c>
      <c r="J83" s="32">
        <f t="shared" si="107"/>
        <v>38028148.905145481</v>
      </c>
      <c r="K83" s="32">
        <f t="shared" si="87"/>
        <v>35028148.905145481</v>
      </c>
      <c r="L83">
        <v>33</v>
      </c>
      <c r="M83" s="30">
        <v>0</v>
      </c>
      <c r="N83" s="30">
        <f t="shared" si="108"/>
        <v>2112674.9391747494</v>
      </c>
      <c r="O83" s="30"/>
      <c r="P83" s="30">
        <f t="shared" si="109"/>
        <v>2112674.9391747494</v>
      </c>
      <c r="Q83" s="32">
        <f t="shared" si="110"/>
        <v>22142631.678859096</v>
      </c>
    </row>
    <row r="84" spans="2:17" x14ac:dyDescent="0.25">
      <c r="B84" s="31">
        <f t="shared" si="101"/>
        <v>6587498.6911489582</v>
      </c>
      <c r="C84" s="34">
        <f t="shared" si="102"/>
        <v>3.243085785220245</v>
      </c>
      <c r="D84" s="32">
        <f t="shared" si="103"/>
        <v>47766119.513598956</v>
      </c>
      <c r="E84" s="33">
        <f t="shared" si="104"/>
        <v>15328601.917125992</v>
      </c>
      <c r="F84" s="33">
        <f t="shared" si="93"/>
        <v>14728601.917125992</v>
      </c>
      <c r="G84" s="33"/>
      <c r="H84" s="29">
        <f t="shared" si="105"/>
        <v>0.14674256918355089</v>
      </c>
      <c r="I84" s="32">
        <f t="shared" si="106"/>
        <v>62494721.430724949</v>
      </c>
      <c r="J84" s="32">
        <f t="shared" si="107"/>
        <v>41070400.817557119</v>
      </c>
      <c r="K84" s="32">
        <f t="shared" si="87"/>
        <v>38070400.817557119</v>
      </c>
      <c r="L84">
        <v>34</v>
      </c>
      <c r="M84" s="30">
        <v>0</v>
      </c>
      <c r="N84" s="30">
        <f t="shared" si="108"/>
        <v>2281688.9343087296</v>
      </c>
      <c r="O84" s="30"/>
      <c r="P84" s="30">
        <f t="shared" si="109"/>
        <v>2281688.9343087296</v>
      </c>
      <c r="Q84" s="32">
        <f t="shared" si="110"/>
        <v>24424320.613167826</v>
      </c>
    </row>
    <row r="85" spans="2:17" x14ac:dyDescent="0.25">
      <c r="B85" s="31">
        <f t="shared" si="101"/>
        <v>6763274.5818506815</v>
      </c>
      <c r="C85" s="34">
        <f t="shared" si="102"/>
        <v>3.1967061195616582</v>
      </c>
      <c r="D85" s="32">
        <f t="shared" si="103"/>
        <v>51983115.436344355</v>
      </c>
      <c r="E85" s="33">
        <f t="shared" si="104"/>
        <v>16861462.108838592</v>
      </c>
      <c r="F85" s="33">
        <f t="shared" si="93"/>
        <v>16261462.108838592</v>
      </c>
      <c r="G85" s="33"/>
      <c r="H85" s="29">
        <f t="shared" si="105"/>
        <v>0.14511498971966263</v>
      </c>
      <c r="I85" s="32">
        <f t="shared" si="106"/>
        <v>68244577.545182943</v>
      </c>
      <c r="J85" s="32">
        <f t="shared" si="107"/>
        <v>44356032.88296169</v>
      </c>
      <c r="K85" s="32">
        <f t="shared" si="87"/>
        <v>41356032.88296169</v>
      </c>
      <c r="L85">
        <v>35</v>
      </c>
      <c r="M85" s="30">
        <v>0</v>
      </c>
      <c r="N85" s="30">
        <f t="shared" si="108"/>
        <v>2464224.0490534282</v>
      </c>
      <c r="O85" s="30"/>
      <c r="P85" s="30">
        <f t="shared" si="109"/>
        <v>2464224.0490534282</v>
      </c>
      <c r="Q85" s="32">
        <f t="shared" si="110"/>
        <v>26888544.662221253</v>
      </c>
    </row>
    <row r="86" spans="2:17" x14ac:dyDescent="0.25">
      <c r="B86" s="31">
        <f t="shared" si="101"/>
        <v>6935689.9516681107</v>
      </c>
      <c r="C86" s="34">
        <f t="shared" si="102"/>
        <v>3.1484314133922986</v>
      </c>
      <c r="D86" s="32">
        <f t="shared" si="103"/>
        <v>56506813.829075135</v>
      </c>
      <c r="E86" s="33">
        <f t="shared" si="104"/>
        <v>18547608.319722451</v>
      </c>
      <c r="F86" s="33">
        <f t="shared" si="93"/>
        <v>17947608.319722451</v>
      </c>
      <c r="G86" s="33"/>
      <c r="H86" s="29">
        <f t="shared" si="105"/>
        <v>0.1435528773456638</v>
      </c>
      <c r="I86" s="32">
        <f t="shared" si="106"/>
        <v>74454422.148797587</v>
      </c>
      <c r="J86" s="32">
        <f t="shared" si="107"/>
        <v>47904515.513598628</v>
      </c>
      <c r="K86" s="32">
        <f t="shared" si="87"/>
        <v>44904515.513598628</v>
      </c>
      <c r="L86">
        <v>36</v>
      </c>
      <c r="M86" s="30">
        <v>0</v>
      </c>
      <c r="N86" s="30">
        <f t="shared" si="108"/>
        <v>2661361.9729777025</v>
      </c>
      <c r="O86" s="30"/>
      <c r="P86" s="30">
        <f t="shared" si="109"/>
        <v>2661361.9729777025</v>
      </c>
      <c r="Q86" s="32">
        <f t="shared" si="110"/>
        <v>29549906.635198954</v>
      </c>
    </row>
    <row r="87" spans="2:17" x14ac:dyDescent="0.25">
      <c r="B87" s="31">
        <f t="shared" si="101"/>
        <v>7104917.3448041994</v>
      </c>
      <c r="C87" s="34">
        <f t="shared" si="102"/>
        <v>3.0985527387643708</v>
      </c>
      <c r="D87" s="32">
        <f t="shared" si="103"/>
        <v>61358685.16900669</v>
      </c>
      <c r="E87" s="33">
        <f t="shared" si="104"/>
        <v>20402369.151694696</v>
      </c>
      <c r="F87" s="33">
        <f t="shared" si="93"/>
        <v>19802369.151694696</v>
      </c>
      <c r="G87" s="33"/>
      <c r="H87" s="29">
        <f t="shared" si="105"/>
        <v>0.1420532594859556</v>
      </c>
      <c r="I87" s="32">
        <f t="shared" si="106"/>
        <v>81161054.320701391</v>
      </c>
      <c r="J87" s="32">
        <f t="shared" si="107"/>
        <v>51736876.75468652</v>
      </c>
      <c r="K87" s="32">
        <f t="shared" si="87"/>
        <v>48736876.75468652</v>
      </c>
      <c r="L87">
        <v>37</v>
      </c>
      <c r="M87" s="30">
        <v>0</v>
      </c>
      <c r="N87" s="30">
        <f t="shared" si="108"/>
        <v>2874270.9308159188</v>
      </c>
      <c r="O87" s="30"/>
      <c r="P87" s="30">
        <f t="shared" si="109"/>
        <v>2874270.9308159188</v>
      </c>
      <c r="Q87" s="32">
        <f t="shared" si="110"/>
        <v>32424177.566014875</v>
      </c>
    </row>
    <row r="88" spans="2:17" x14ac:dyDescent="0.25">
      <c r="B88" s="31">
        <f t="shared" si="101"/>
        <v>7271113.8470056513</v>
      </c>
      <c r="C88" s="34">
        <f t="shared" si="102"/>
        <v>3.0473291875399955</v>
      </c>
      <c r="D88" s="32">
        <f t="shared" si="103"/>
        <v>66561610.999493361</v>
      </c>
      <c r="E88" s="33">
        <f t="shared" si="104"/>
        <v>22442606.066864166</v>
      </c>
      <c r="F88" s="33">
        <f t="shared" si="93"/>
        <v>21842606.066864166</v>
      </c>
      <c r="G88" s="33"/>
      <c r="H88" s="29">
        <f t="shared" si="105"/>
        <v>0.14061322698492784</v>
      </c>
      <c r="I88" s="32">
        <f t="shared" si="106"/>
        <v>88404217.066357523</v>
      </c>
      <c r="J88" s="32">
        <f t="shared" si="107"/>
        <v>55875826.895061448</v>
      </c>
      <c r="K88" s="32">
        <f t="shared" si="87"/>
        <v>52875826.895061448</v>
      </c>
      <c r="L88">
        <v>38</v>
      </c>
      <c r="M88" s="30">
        <v>0</v>
      </c>
      <c r="N88" s="30">
        <f t="shared" si="108"/>
        <v>3104212.6052811923</v>
      </c>
      <c r="O88" s="30"/>
      <c r="P88" s="30">
        <f t="shared" si="109"/>
        <v>3104212.6052811923</v>
      </c>
      <c r="Q88" s="32">
        <f t="shared" si="110"/>
        <v>35528390.171296068</v>
      </c>
    </row>
    <row r="89" spans="2:17" x14ac:dyDescent="0.25">
      <c r="B89" s="31">
        <f t="shared" ref="B89:B90" si="111">D89/(1.06)^L89</f>
        <v>7434421.6509761224</v>
      </c>
      <c r="C89" s="34">
        <f t="shared" ref="C89:C90" si="112">(I89-F89)/F89</f>
        <v>2.9949917162671604</v>
      </c>
      <c r="D89" s="32">
        <f t="shared" ref="D89:D90" si="113">I89-F89</f>
        <v>72139966.158115536</v>
      </c>
      <c r="E89" s="33">
        <f t="shared" ref="E89:E90" si="114">E88*1.1</f>
        <v>24686866.673550583</v>
      </c>
      <c r="F89" s="33">
        <f t="shared" si="93"/>
        <v>24086866.673550583</v>
      </c>
      <c r="G89" s="33"/>
      <c r="H89" s="29">
        <f t="shared" ref="H89:H90" si="115">((I89/600000)+1)^(1/L89) -1</f>
        <v>0.13922995764310642</v>
      </c>
      <c r="I89" s="32">
        <f t="shared" ref="I89:I90" si="116">K89+Q89</f>
        <v>96226832.831666127</v>
      </c>
      <c r="J89" s="32">
        <f t="shared" ref="J89:J90" si="117">J88*1.08</f>
        <v>60345893.046666369</v>
      </c>
      <c r="K89" s="32">
        <f t="shared" si="87"/>
        <v>57345893.046666369</v>
      </c>
      <c r="L89">
        <v>39</v>
      </c>
      <c r="M89" s="30">
        <v>0</v>
      </c>
      <c r="N89" s="30">
        <f t="shared" ref="N89:N90" si="118">N88*1.08</f>
        <v>3352549.6137036881</v>
      </c>
      <c r="O89" s="30"/>
      <c r="P89" s="30">
        <f t="shared" ref="P89:P90" si="119">N89-M89</f>
        <v>3352549.6137036881</v>
      </c>
      <c r="Q89" s="32">
        <f t="shared" ref="Q89:Q90" si="120">P89+Q88</f>
        <v>38880939.784999758</v>
      </c>
    </row>
    <row r="90" spans="2:17" x14ac:dyDescent="0.25">
      <c r="B90" s="31">
        <f t="shared" si="111"/>
        <v>7594968.576313328</v>
      </c>
      <c r="C90" s="34">
        <f t="shared" si="112"/>
        <v>2.9417464405443114</v>
      </c>
      <c r="D90" s="32">
        <f t="shared" si="113"/>
        <v>78119704.517293781</v>
      </c>
      <c r="E90" s="33">
        <f t="shared" si="114"/>
        <v>27155553.340905644</v>
      </c>
      <c r="F90" s="33">
        <f t="shared" si="93"/>
        <v>26555553.340905644</v>
      </c>
      <c r="G90" s="33"/>
      <c r="H90" s="29">
        <f t="shared" si="115"/>
        <v>0.13790073144108317</v>
      </c>
      <c r="I90" s="32">
        <f t="shared" si="116"/>
        <v>104675257.85819942</v>
      </c>
      <c r="J90" s="32">
        <f t="shared" si="117"/>
        <v>65173564.490399681</v>
      </c>
      <c r="K90" s="32">
        <f t="shared" si="87"/>
        <v>62173564.490399681</v>
      </c>
      <c r="L90">
        <v>40</v>
      </c>
      <c r="M90" s="30">
        <v>0</v>
      </c>
      <c r="N90" s="30">
        <f t="shared" si="118"/>
        <v>3620753.5827999832</v>
      </c>
      <c r="O90" s="30"/>
      <c r="P90" s="30">
        <f t="shared" si="119"/>
        <v>3620753.5827999832</v>
      </c>
      <c r="Q90" s="32">
        <f t="shared" si="120"/>
        <v>42501693.367799744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EC69-3628-48D8-BE2D-32EDEAE61CE9}">
  <dimension ref="B3:R36"/>
  <sheetViews>
    <sheetView workbookViewId="0">
      <selection activeCell="F7" sqref="F7:F36"/>
    </sheetView>
  </sheetViews>
  <sheetFormatPr defaultRowHeight="13.2" x14ac:dyDescent="0.25"/>
  <cols>
    <col min="2" max="2" width="12.77734375" bestFit="1" customWidth="1"/>
    <col min="3" max="3" width="9.21875" customWidth="1"/>
    <col min="4" max="4" width="11.77734375" bestFit="1" customWidth="1"/>
    <col min="5" max="5" width="12.21875" bestFit="1" customWidth="1"/>
    <col min="6" max="6" width="11.77734375" bestFit="1" customWidth="1"/>
    <col min="7" max="7" width="7.5546875" customWidth="1"/>
    <col min="8" max="8" width="10.109375" customWidth="1"/>
    <col min="9" max="11" width="11.77734375" bestFit="1" customWidth="1"/>
    <col min="12" max="12" width="7.6640625" customWidth="1"/>
    <col min="13" max="13" width="15" customWidth="1"/>
    <col min="14" max="14" width="12.5546875" bestFit="1" customWidth="1"/>
    <col min="15" max="15" width="10.21875" bestFit="1" customWidth="1"/>
    <col min="16" max="16" width="11.77734375" bestFit="1" customWidth="1"/>
    <col min="18" max="18" width="9.21875" bestFit="1" customWidth="1"/>
  </cols>
  <sheetData>
    <row r="3" spans="2:18" x14ac:dyDescent="0.25">
      <c r="M3" s="35" t="s">
        <v>330</v>
      </c>
    </row>
    <row r="4" spans="2:18" x14ac:dyDescent="0.25">
      <c r="E4" s="30"/>
      <c r="F4" s="30"/>
      <c r="G4" s="30"/>
      <c r="H4" s="30"/>
      <c r="J4" s="30"/>
      <c r="M4" s="35" t="s">
        <v>329</v>
      </c>
      <c r="N4" t="s">
        <v>319</v>
      </c>
    </row>
    <row r="5" spans="2:18" x14ac:dyDescent="0.25">
      <c r="B5" t="s">
        <v>325</v>
      </c>
      <c r="C5" t="s">
        <v>318</v>
      </c>
      <c r="E5" s="30">
        <v>2000000</v>
      </c>
      <c r="F5" s="29">
        <f>((F9/E5)+1)^(1/G5) -1</f>
        <v>9.9999999999999867E-2</v>
      </c>
      <c r="G5" s="30">
        <v>3</v>
      </c>
      <c r="H5" s="30"/>
      <c r="I5" s="30" t="s">
        <v>323</v>
      </c>
      <c r="J5" s="30">
        <v>10000000</v>
      </c>
      <c r="M5" s="28">
        <v>69426</v>
      </c>
      <c r="N5">
        <v>30000</v>
      </c>
    </row>
    <row r="6" spans="2:18" x14ac:dyDescent="0.25">
      <c r="E6" t="s">
        <v>322</v>
      </c>
      <c r="J6" t="s">
        <v>319</v>
      </c>
      <c r="M6" t="s">
        <v>316</v>
      </c>
      <c r="N6" t="s">
        <v>320</v>
      </c>
      <c r="O6" t="s">
        <v>318</v>
      </c>
      <c r="R6" t="s">
        <v>326</v>
      </c>
    </row>
    <row r="7" spans="2:18" x14ac:dyDescent="0.25">
      <c r="B7" s="31">
        <f>D7/(1.06)^L7</f>
        <v>-68973.584905660377</v>
      </c>
      <c r="C7" s="34">
        <f>(I7-F7)/F7</f>
        <v>-0.36556</v>
      </c>
      <c r="D7" s="32">
        <f>I7-F7</f>
        <v>-73112</v>
      </c>
      <c r="E7" s="33">
        <f>E5*1.1</f>
        <v>2200000</v>
      </c>
      <c r="F7" s="33">
        <f>E7-2000000</f>
        <v>200000</v>
      </c>
      <c r="G7" s="33"/>
      <c r="H7" s="29">
        <f>((I7/600000)+1)^(1/L7) -1</f>
        <v>0.21147999999999989</v>
      </c>
      <c r="I7" s="32">
        <f>K7+P7</f>
        <v>126888</v>
      </c>
      <c r="J7" s="33">
        <f>J5*1.06</f>
        <v>10600000</v>
      </c>
      <c r="K7" s="32">
        <f>J7-10000000</f>
        <v>600000</v>
      </c>
      <c r="L7">
        <v>1</v>
      </c>
      <c r="M7" s="30">
        <f>M5*12</f>
        <v>833112</v>
      </c>
      <c r="N7" s="30">
        <f t="shared" ref="N7:O7" si="0">N5*12</f>
        <v>360000</v>
      </c>
      <c r="O7" s="30">
        <f>N7-M7</f>
        <v>-473112</v>
      </c>
      <c r="P7" s="32">
        <f>O7</f>
        <v>-473112</v>
      </c>
      <c r="R7" s="32">
        <f>M7/(1.06)^L7</f>
        <v>785954.71698113205</v>
      </c>
    </row>
    <row r="8" spans="2:18" x14ac:dyDescent="0.25">
      <c r="B8" s="31">
        <f t="shared" ref="B8:B9" si="1">D8/(1.06)^L8</f>
        <v>-96674.97330010678</v>
      </c>
      <c r="C8" s="34">
        <f t="shared" ref="C8:C9" si="2">(I8-F8)/F8</f>
        <v>-0.25862857142857143</v>
      </c>
      <c r="D8" s="32">
        <f t="shared" ref="D8:D9" si="3">I8-F8</f>
        <v>-108624</v>
      </c>
      <c r="E8" s="33">
        <f t="shared" ref="E8:E36" si="4">E7*1.1</f>
        <v>2420000</v>
      </c>
      <c r="F8" s="33">
        <f t="shared" ref="F8:F36" si="5">E8-2000000</f>
        <v>420000</v>
      </c>
      <c r="G8" s="33"/>
      <c r="H8" s="29">
        <f t="shared" ref="H8:H36" si="6">((I8/600000)+1)^(1/L8) -1</f>
        <v>0.23246095272832057</v>
      </c>
      <c r="I8" s="32">
        <f t="shared" ref="I8:I36" si="7">K8+P8</f>
        <v>311376</v>
      </c>
      <c r="J8" s="32">
        <f>J7*1.06</f>
        <v>11236000</v>
      </c>
      <c r="K8" s="32">
        <f t="shared" ref="K8:K36" si="8">J8-10000000</f>
        <v>1236000</v>
      </c>
      <c r="L8">
        <v>2</v>
      </c>
      <c r="M8" s="30">
        <v>833112</v>
      </c>
      <c r="N8" s="30">
        <f>N7*1.06</f>
        <v>381600</v>
      </c>
      <c r="O8" s="30">
        <f t="shared" ref="O8" si="9">N8-M8</f>
        <v>-451512</v>
      </c>
      <c r="P8" s="32">
        <f>O8+P7</f>
        <v>-924624</v>
      </c>
      <c r="R8" s="32">
        <f t="shared" ref="R8" si="10">M8/(1.06)^L8</f>
        <v>741466.71413314331</v>
      </c>
    </row>
    <row r="9" spans="2:18" x14ac:dyDescent="0.25">
      <c r="B9" s="31">
        <f t="shared" ref="B9:B36" si="11">D9/(1.06)^L9</f>
        <v>-88227.194261034252</v>
      </c>
      <c r="C9" s="34">
        <f t="shared" ref="C9:C36" si="12">(I9-F9)/F9</f>
        <v>-0.15873111782477342</v>
      </c>
      <c r="D9" s="32">
        <f t="shared" ref="D9:D36" si="13">I9-F9</f>
        <v>-105080</v>
      </c>
      <c r="E9" s="33">
        <f t="shared" si="4"/>
        <v>2662000</v>
      </c>
      <c r="F9" s="33">
        <f t="shared" si="5"/>
        <v>662000</v>
      </c>
      <c r="H9" s="29">
        <f t="shared" si="6"/>
        <v>0.24465988569710984</v>
      </c>
      <c r="I9" s="32">
        <f t="shared" si="7"/>
        <v>556920</v>
      </c>
      <c r="J9" s="32">
        <f t="shared" ref="J9:J36" si="14">J8*1.06</f>
        <v>11910160</v>
      </c>
      <c r="K9" s="32">
        <f t="shared" si="8"/>
        <v>1910160</v>
      </c>
      <c r="L9">
        <v>3</v>
      </c>
      <c r="M9" s="30">
        <v>833112</v>
      </c>
      <c r="N9" s="30">
        <f t="shared" ref="N9:N36" si="15">N8*1.06</f>
        <v>404496</v>
      </c>
      <c r="O9" s="30">
        <f t="shared" ref="O9:O36" si="16">N9-M9</f>
        <v>-428616</v>
      </c>
      <c r="P9" s="32">
        <f t="shared" ref="P9:P36" si="17">O9+P8</f>
        <v>-1353240</v>
      </c>
      <c r="R9" s="32">
        <f t="shared" ref="R9:R36" si="18">M9/(1.06)^L9</f>
        <v>699496.90012560692</v>
      </c>
    </row>
    <row r="10" spans="2:18" x14ac:dyDescent="0.25">
      <c r="B10" s="31">
        <f t="shared" si="11"/>
        <v>-48330.893896074704</v>
      </c>
      <c r="C10" s="34">
        <f t="shared" si="12"/>
        <v>-6.5736522301227035E-2</v>
      </c>
      <c r="D10" s="32">
        <f t="shared" si="13"/>
        <v>-61016.639999998966</v>
      </c>
      <c r="E10" s="33">
        <f t="shared" si="4"/>
        <v>2928200.0000000005</v>
      </c>
      <c r="F10" s="33">
        <f t="shared" si="5"/>
        <v>928200.00000000047</v>
      </c>
      <c r="H10" s="29">
        <f t="shared" si="6"/>
        <v>0.25049881813711772</v>
      </c>
      <c r="I10" s="32">
        <f t="shared" si="7"/>
        <v>867183.3600000015</v>
      </c>
      <c r="J10" s="32">
        <f t="shared" si="14"/>
        <v>12624769.600000001</v>
      </c>
      <c r="K10" s="32">
        <f t="shared" si="8"/>
        <v>2624769.6000000015</v>
      </c>
      <c r="L10">
        <v>4</v>
      </c>
      <c r="M10" s="30">
        <v>833112</v>
      </c>
      <c r="N10" s="30">
        <f t="shared" si="15"/>
        <v>428765.76</v>
      </c>
      <c r="O10" s="30">
        <f t="shared" si="16"/>
        <v>-404346.24</v>
      </c>
      <c r="P10" s="32">
        <f t="shared" si="17"/>
        <v>-1757586.24</v>
      </c>
      <c r="R10" s="32">
        <f t="shared" si="18"/>
        <v>659902.73596755369</v>
      </c>
    </row>
    <row r="11" spans="2:18" x14ac:dyDescent="0.25">
      <c r="B11" s="31">
        <f t="shared" si="11"/>
        <v>18703.30534624037</v>
      </c>
      <c r="C11" s="34">
        <f t="shared" si="12"/>
        <v>2.0498633601416585E-2</v>
      </c>
      <c r="D11" s="32">
        <f t="shared" si="13"/>
        <v>25029.241600001696</v>
      </c>
      <c r="E11" s="33">
        <f t="shared" si="4"/>
        <v>3221020.0000000009</v>
      </c>
      <c r="F11" s="33">
        <f t="shared" si="5"/>
        <v>1221020.0000000009</v>
      </c>
      <c r="H11" s="29">
        <f t="shared" si="6"/>
        <v>0.25204058320047085</v>
      </c>
      <c r="I11" s="32">
        <f t="shared" si="7"/>
        <v>1246049.2416000026</v>
      </c>
      <c r="J11" s="32">
        <f t="shared" si="14"/>
        <v>13382255.776000002</v>
      </c>
      <c r="K11" s="32">
        <f t="shared" si="8"/>
        <v>3382255.7760000024</v>
      </c>
      <c r="L11">
        <v>5</v>
      </c>
      <c r="M11" s="30">
        <v>833112</v>
      </c>
      <c r="N11" s="30">
        <f t="shared" si="15"/>
        <v>454491.70560000004</v>
      </c>
      <c r="O11" s="30">
        <f t="shared" si="16"/>
        <v>-378620.29439999996</v>
      </c>
      <c r="P11" s="32">
        <f t="shared" si="17"/>
        <v>-2136206.5343999998</v>
      </c>
      <c r="R11" s="32">
        <f t="shared" si="18"/>
        <v>622549.75091278634</v>
      </c>
    </row>
    <row r="12" spans="2:18" x14ac:dyDescent="0.25">
      <c r="B12" s="31">
        <f t="shared" si="11"/>
        <v>108924.71928014312</v>
      </c>
      <c r="C12" s="34">
        <f t="shared" si="12"/>
        <v>0.10012934563566753</v>
      </c>
      <c r="D12" s="32">
        <f t="shared" si="13"/>
        <v>154511.79609600268</v>
      </c>
      <c r="E12" s="33">
        <f t="shared" si="4"/>
        <v>3543122.0000000014</v>
      </c>
      <c r="F12" s="33">
        <f t="shared" si="5"/>
        <v>1543122.0000000014</v>
      </c>
      <c r="H12" s="29">
        <f t="shared" si="6"/>
        <v>0.25080111596924137</v>
      </c>
      <c r="I12" s="32">
        <f t="shared" si="7"/>
        <v>1697633.7960960041</v>
      </c>
      <c r="J12" s="32">
        <f t="shared" si="14"/>
        <v>14185191.122560004</v>
      </c>
      <c r="K12" s="32">
        <f t="shared" si="8"/>
        <v>4185191.1225600038</v>
      </c>
      <c r="L12">
        <v>6</v>
      </c>
      <c r="M12" s="30">
        <v>833112</v>
      </c>
      <c r="N12" s="30">
        <f t="shared" si="15"/>
        <v>481761.20793600008</v>
      </c>
      <c r="O12" s="30">
        <f t="shared" si="16"/>
        <v>-351350.79206399992</v>
      </c>
      <c r="P12" s="32">
        <f t="shared" si="17"/>
        <v>-2487557.3264639997</v>
      </c>
      <c r="R12" s="32">
        <f t="shared" si="18"/>
        <v>587311.08576677961</v>
      </c>
    </row>
    <row r="13" spans="2:18" x14ac:dyDescent="0.25">
      <c r="B13" s="31">
        <f t="shared" si="11"/>
        <v>218714.6353933893</v>
      </c>
      <c r="C13" s="34">
        <f t="shared" si="12"/>
        <v>0.17332139573628569</v>
      </c>
      <c r="D13" s="32">
        <f t="shared" si="13"/>
        <v>328865.94386176299</v>
      </c>
      <c r="E13" s="33">
        <f t="shared" si="4"/>
        <v>3897434.200000002</v>
      </c>
      <c r="F13" s="33">
        <f t="shared" si="5"/>
        <v>1897434.200000002</v>
      </c>
      <c r="H13" s="29">
        <f t="shared" si="6"/>
        <v>0.24782140985511614</v>
      </c>
      <c r="I13" s="32">
        <f t="shared" si="7"/>
        <v>2226300.143861765</v>
      </c>
      <c r="J13" s="32">
        <f t="shared" si="14"/>
        <v>15036302.589913605</v>
      </c>
      <c r="K13" s="32">
        <f t="shared" si="8"/>
        <v>5036302.5899136048</v>
      </c>
      <c r="L13">
        <v>7</v>
      </c>
      <c r="M13" s="30">
        <v>833112</v>
      </c>
      <c r="N13" s="30">
        <f t="shared" si="15"/>
        <v>510666.88041216013</v>
      </c>
      <c r="O13" s="30">
        <f t="shared" si="16"/>
        <v>-322445.11958783987</v>
      </c>
      <c r="P13" s="32">
        <f t="shared" si="17"/>
        <v>-2810002.4460518397</v>
      </c>
      <c r="R13" s="32">
        <f t="shared" si="18"/>
        <v>554067.06204413157</v>
      </c>
    </row>
    <row r="14" spans="2:18" x14ac:dyDescent="0.25">
      <c r="B14" s="31">
        <f t="shared" si="11"/>
        <v>344760.32017996156</v>
      </c>
      <c r="C14" s="34">
        <f t="shared" si="12"/>
        <v>0.24025050249200486</v>
      </c>
      <c r="D14" s="32">
        <f t="shared" si="13"/>
        <v>549495.57249346841</v>
      </c>
      <c r="E14" s="33">
        <f t="shared" si="4"/>
        <v>4287177.6200000029</v>
      </c>
      <c r="F14" s="33">
        <f t="shared" si="5"/>
        <v>2287177.6200000029</v>
      </c>
      <c r="H14" s="29">
        <f t="shared" si="6"/>
        <v>0.24379375839504491</v>
      </c>
      <c r="I14" s="32">
        <f t="shared" si="7"/>
        <v>2836673.1924934713</v>
      </c>
      <c r="J14" s="32">
        <f t="shared" si="14"/>
        <v>15938480.745308422</v>
      </c>
      <c r="K14" s="32">
        <f t="shared" si="8"/>
        <v>5938480.7453084216</v>
      </c>
      <c r="L14">
        <v>8</v>
      </c>
      <c r="M14" s="30">
        <v>833112</v>
      </c>
      <c r="N14" s="30">
        <f t="shared" si="15"/>
        <v>541306.89323688974</v>
      </c>
      <c r="O14" s="30">
        <f t="shared" si="16"/>
        <v>-291805.10676311026</v>
      </c>
      <c r="P14" s="32">
        <f t="shared" si="17"/>
        <v>-3101807.5528149502</v>
      </c>
      <c r="R14" s="32">
        <f t="shared" si="18"/>
        <v>522704.77551333176</v>
      </c>
    </row>
    <row r="15" spans="2:18" x14ac:dyDescent="0.25">
      <c r="B15" s="31">
        <f t="shared" si="11"/>
        <v>484030.86506966787</v>
      </c>
      <c r="C15" s="34">
        <f t="shared" si="12"/>
        <v>0.30110142219133318</v>
      </c>
      <c r="D15" s="32">
        <f t="shared" si="13"/>
        <v>817759.96204307536</v>
      </c>
      <c r="E15" s="33">
        <f t="shared" si="4"/>
        <v>4715895.3820000039</v>
      </c>
      <c r="F15" s="33">
        <f t="shared" si="5"/>
        <v>2715895.3820000039</v>
      </c>
      <c r="H15" s="29">
        <f t="shared" si="6"/>
        <v>0.23917158401120675</v>
      </c>
      <c r="I15" s="32">
        <f t="shared" si="7"/>
        <v>3533655.3440430793</v>
      </c>
      <c r="J15" s="32">
        <f t="shared" si="14"/>
        <v>16894789.590026926</v>
      </c>
      <c r="K15" s="32">
        <f t="shared" si="8"/>
        <v>6894789.5900269262</v>
      </c>
      <c r="L15">
        <v>9</v>
      </c>
      <c r="M15" s="30">
        <v>833112</v>
      </c>
      <c r="N15" s="30">
        <f t="shared" si="15"/>
        <v>573785.30683110317</v>
      </c>
      <c r="O15" s="30">
        <f t="shared" si="16"/>
        <v>-259326.69316889683</v>
      </c>
      <c r="P15" s="32">
        <f t="shared" si="17"/>
        <v>-3361134.245983847</v>
      </c>
      <c r="R15" s="32">
        <f t="shared" si="18"/>
        <v>493117.71274842619</v>
      </c>
    </row>
    <row r="16" spans="2:18" x14ac:dyDescent="0.25">
      <c r="B16" s="31">
        <f t="shared" si="11"/>
        <v>633754.74456964841</v>
      </c>
      <c r="C16" s="34">
        <f t="shared" si="12"/>
        <v>0.35606700985253437</v>
      </c>
      <c r="D16" s="32">
        <f t="shared" si="13"/>
        <v>1134958.22448566</v>
      </c>
      <c r="E16" s="33">
        <f t="shared" si="4"/>
        <v>5187484.9202000052</v>
      </c>
      <c r="F16" s="33">
        <f t="shared" si="5"/>
        <v>3187484.9202000052</v>
      </c>
      <c r="H16" s="29">
        <f t="shared" si="6"/>
        <v>0.23424945983959455</v>
      </c>
      <c r="I16" s="32">
        <f t="shared" si="7"/>
        <v>4322443.1446856651</v>
      </c>
      <c r="J16" s="32">
        <f t="shared" si="14"/>
        <v>17908476.965428542</v>
      </c>
      <c r="K16" s="32">
        <f t="shared" si="8"/>
        <v>7908476.9654285423</v>
      </c>
      <c r="L16">
        <v>10</v>
      </c>
      <c r="M16" s="30">
        <v>833112</v>
      </c>
      <c r="N16" s="30">
        <f t="shared" si="15"/>
        <v>608212.4252409694</v>
      </c>
      <c r="O16" s="30">
        <f t="shared" si="16"/>
        <v>-224899.5747590306</v>
      </c>
      <c r="P16" s="32">
        <f t="shared" si="17"/>
        <v>-3586033.8207428777</v>
      </c>
      <c r="R16" s="32">
        <f t="shared" si="18"/>
        <v>465205.38938530767</v>
      </c>
    </row>
    <row r="17" spans="2:18" x14ac:dyDescent="0.25">
      <c r="B17" s="31">
        <f t="shared" si="11"/>
        <v>791398.96859224467</v>
      </c>
      <c r="C17" s="34">
        <f t="shared" si="12"/>
        <v>0.40534724990429788</v>
      </c>
      <c r="D17" s="32">
        <f t="shared" si="13"/>
        <v>1502311.5211468013</v>
      </c>
      <c r="E17" s="33">
        <f t="shared" si="4"/>
        <v>5706233.4122200059</v>
      </c>
      <c r="F17" s="33">
        <f t="shared" si="5"/>
        <v>3706233.4122200059</v>
      </c>
      <c r="H17" s="29">
        <f t="shared" si="6"/>
        <v>0.22921750588670475</v>
      </c>
      <c r="I17" s="32">
        <f t="shared" si="7"/>
        <v>5208544.9333668072</v>
      </c>
      <c r="J17" s="32">
        <f t="shared" si="14"/>
        <v>18982985.583354257</v>
      </c>
      <c r="K17" s="32">
        <f t="shared" si="8"/>
        <v>8982985.583354257</v>
      </c>
      <c r="L17">
        <v>11</v>
      </c>
      <c r="M17" s="30">
        <v>833112</v>
      </c>
      <c r="N17" s="30">
        <f t="shared" si="15"/>
        <v>644705.17075542756</v>
      </c>
      <c r="O17" s="30">
        <f t="shared" si="16"/>
        <v>-188406.82924457244</v>
      </c>
      <c r="P17" s="32">
        <f t="shared" si="17"/>
        <v>-3774440.6499874499</v>
      </c>
      <c r="R17" s="32">
        <f t="shared" si="18"/>
        <v>438873.00885406381</v>
      </c>
    </row>
    <row r="18" spans="2:18" x14ac:dyDescent="0.25">
      <c r="B18" s="31">
        <f t="shared" si="11"/>
        <v>954649.71875957085</v>
      </c>
      <c r="C18" s="34">
        <f t="shared" si="12"/>
        <v>0.44914826627776083</v>
      </c>
      <c r="D18" s="32">
        <f t="shared" si="13"/>
        <v>1920942.7959268102</v>
      </c>
      <c r="E18" s="33">
        <f t="shared" si="4"/>
        <v>6276856.7534420071</v>
      </c>
      <c r="F18" s="33">
        <f t="shared" si="5"/>
        <v>4276856.7534420071</v>
      </c>
      <c r="H18" s="29">
        <f t="shared" si="6"/>
        <v>0.2241973225429299</v>
      </c>
      <c r="I18" s="32">
        <f t="shared" si="7"/>
        <v>6197799.5493688174</v>
      </c>
      <c r="J18" s="32">
        <f t="shared" si="14"/>
        <v>20121964.718355514</v>
      </c>
      <c r="K18" s="32">
        <f t="shared" si="8"/>
        <v>10121964.718355514</v>
      </c>
      <c r="L18">
        <v>12</v>
      </c>
      <c r="M18" s="30">
        <v>833112</v>
      </c>
      <c r="N18" s="30">
        <f t="shared" si="15"/>
        <v>683387.48100075324</v>
      </c>
      <c r="O18" s="30">
        <f t="shared" si="16"/>
        <v>-149724.51899924676</v>
      </c>
      <c r="P18" s="32">
        <f t="shared" si="17"/>
        <v>-3924165.1689866967</v>
      </c>
      <c r="R18" s="32">
        <f t="shared" si="18"/>
        <v>414031.14042836206</v>
      </c>
    </row>
    <row r="19" spans="2:18" x14ac:dyDescent="0.25">
      <c r="B19" s="31">
        <f t="shared" si="11"/>
        <v>1121394.3657820777</v>
      </c>
      <c r="C19" s="34">
        <f t="shared" si="12"/>
        <v>0.48768132160632249</v>
      </c>
      <c r="D19" s="32">
        <f t="shared" si="13"/>
        <v>2391853.7335447408</v>
      </c>
      <c r="E19" s="33">
        <f t="shared" si="4"/>
        <v>6904542.4287862079</v>
      </c>
      <c r="F19" s="33">
        <f t="shared" si="5"/>
        <v>4904542.4287862079</v>
      </c>
      <c r="H19" s="29">
        <f t="shared" si="6"/>
        <v>0.21926549341474266</v>
      </c>
      <c r="I19" s="32">
        <f t="shared" si="7"/>
        <v>7296396.1623309487</v>
      </c>
      <c r="J19" s="32">
        <f t="shared" si="14"/>
        <v>21329282.601456847</v>
      </c>
      <c r="K19" s="32">
        <f t="shared" si="8"/>
        <v>11329282.601456847</v>
      </c>
      <c r="L19">
        <v>13</v>
      </c>
      <c r="M19" s="30">
        <v>833112</v>
      </c>
      <c r="N19" s="30">
        <f t="shared" si="15"/>
        <v>724390.72986079846</v>
      </c>
      <c r="O19" s="30">
        <f t="shared" si="16"/>
        <v>-108721.27013920154</v>
      </c>
      <c r="P19" s="32">
        <f t="shared" si="17"/>
        <v>-4032886.4391258983</v>
      </c>
      <c r="R19" s="32">
        <f t="shared" si="18"/>
        <v>390595.41549845471</v>
      </c>
    </row>
    <row r="20" spans="2:18" x14ac:dyDescent="0.25">
      <c r="B20" s="31">
        <f t="shared" si="11"/>
        <v>1289704.7718389211</v>
      </c>
      <c r="C20" s="34">
        <f t="shared" si="12"/>
        <v>0.52116181501468728</v>
      </c>
      <c r="D20" s="32">
        <f t="shared" si="13"/>
        <v>2915898.6204059767</v>
      </c>
      <c r="E20" s="33">
        <f t="shared" si="4"/>
        <v>7594996.6716648294</v>
      </c>
      <c r="F20" s="33">
        <f t="shared" si="5"/>
        <v>5594996.6716648294</v>
      </c>
      <c r="H20" s="29">
        <f t="shared" si="6"/>
        <v>0.21446894680456396</v>
      </c>
      <c r="I20" s="32">
        <f t="shared" si="7"/>
        <v>8510895.292070806</v>
      </c>
      <c r="J20" s="32">
        <f t="shared" si="14"/>
        <v>22609039.557544257</v>
      </c>
      <c r="K20" s="32">
        <f t="shared" si="8"/>
        <v>12609039.557544257</v>
      </c>
      <c r="L20">
        <v>14</v>
      </c>
      <c r="M20" s="30">
        <v>833112</v>
      </c>
      <c r="N20" s="30">
        <f t="shared" si="15"/>
        <v>767854.17365244636</v>
      </c>
      <c r="O20" s="30">
        <f t="shared" si="16"/>
        <v>-65257.826347553637</v>
      </c>
      <c r="P20" s="32">
        <f t="shared" si="17"/>
        <v>-4098144.2654734519</v>
      </c>
      <c r="R20" s="32">
        <f t="shared" si="18"/>
        <v>368486.24103627808</v>
      </c>
    </row>
    <row r="21" spans="2:18" x14ac:dyDescent="0.25">
      <c r="B21" s="31">
        <f t="shared" si="11"/>
        <v>1457821.7882725156</v>
      </c>
      <c r="C21" s="34">
        <f t="shared" si="12"/>
        <v>0.54980828762367284</v>
      </c>
      <c r="D21" s="32">
        <f t="shared" si="13"/>
        <v>3493754.7507637423</v>
      </c>
      <c r="E21" s="33">
        <f t="shared" si="4"/>
        <v>8354496.338831313</v>
      </c>
      <c r="F21" s="33">
        <f t="shared" si="5"/>
        <v>6354496.338831313</v>
      </c>
      <c r="H21" s="29">
        <f t="shared" si="6"/>
        <v>0.2098350345379203</v>
      </c>
      <c r="I21" s="32">
        <f t="shared" si="7"/>
        <v>9848251.0895950552</v>
      </c>
      <c r="J21" s="32">
        <f t="shared" si="14"/>
        <v>23965581.930996913</v>
      </c>
      <c r="K21" s="32">
        <f t="shared" si="8"/>
        <v>13965581.930996913</v>
      </c>
      <c r="L21">
        <v>15</v>
      </c>
      <c r="M21" s="30">
        <v>833112</v>
      </c>
      <c r="N21" s="30">
        <f t="shared" si="15"/>
        <v>813925.42407159321</v>
      </c>
      <c r="O21" s="30">
        <f t="shared" si="16"/>
        <v>-19186.57592840679</v>
      </c>
      <c r="P21" s="32">
        <f t="shared" si="17"/>
        <v>-4117330.8414018587</v>
      </c>
      <c r="R21" s="32">
        <f t="shared" si="18"/>
        <v>347628.52927950752</v>
      </c>
    </row>
    <row r="22" spans="2:18" x14ac:dyDescent="0.25">
      <c r="B22" s="31">
        <f t="shared" si="11"/>
        <v>1624140.8648766773</v>
      </c>
      <c r="C22" s="34">
        <f t="shared" si="12"/>
        <v>0.57384144441611884</v>
      </c>
      <c r="D22" s="32">
        <f t="shared" si="13"/>
        <v>4125888.9822563138</v>
      </c>
      <c r="E22" s="33">
        <f t="shared" si="4"/>
        <v>9189945.9727144446</v>
      </c>
      <c r="F22" s="33">
        <f t="shared" si="5"/>
        <v>7189945.9727144446</v>
      </c>
      <c r="H22" s="29">
        <f t="shared" si="6"/>
        <v>0.2053781835682662</v>
      </c>
      <c r="I22" s="32">
        <f t="shared" si="7"/>
        <v>11315834.954970758</v>
      </c>
      <c r="J22" s="32">
        <f t="shared" si="14"/>
        <v>25403516.846856728</v>
      </c>
      <c r="K22" s="32">
        <f t="shared" si="8"/>
        <v>15403516.846856728</v>
      </c>
      <c r="L22">
        <v>16</v>
      </c>
      <c r="M22" s="30">
        <v>833112</v>
      </c>
      <c r="N22" s="30">
        <f t="shared" si="15"/>
        <v>862760.94951588882</v>
      </c>
      <c r="O22" s="30">
        <f t="shared" si="16"/>
        <v>29648.949515888817</v>
      </c>
      <c r="P22" s="32">
        <f t="shared" si="17"/>
        <v>-4087681.8918859698</v>
      </c>
      <c r="R22" s="32">
        <f t="shared" si="18"/>
        <v>327951.44271651661</v>
      </c>
    </row>
    <row r="23" spans="2:18" x14ac:dyDescent="0.25">
      <c r="B23" s="31">
        <f t="shared" si="11"/>
        <v>1787198.6926340924</v>
      </c>
      <c r="C23" s="34">
        <f t="shared" si="12"/>
        <v>0.59348320051770787</v>
      </c>
      <c r="D23" s="32">
        <f t="shared" si="13"/>
        <v>4812520.0022831131</v>
      </c>
      <c r="E23" s="33">
        <f t="shared" si="4"/>
        <v>10108940.569985891</v>
      </c>
      <c r="F23" s="33">
        <f t="shared" si="5"/>
        <v>8108940.5699858908</v>
      </c>
      <c r="H23" s="29">
        <f t="shared" si="6"/>
        <v>0.2011043139497235</v>
      </c>
      <c r="I23" s="32">
        <f t="shared" si="7"/>
        <v>12921460.572269004</v>
      </c>
      <c r="J23" s="32">
        <f t="shared" si="14"/>
        <v>26927727.857668132</v>
      </c>
      <c r="K23" s="32">
        <f t="shared" si="8"/>
        <v>16927727.857668132</v>
      </c>
      <c r="L23">
        <v>17</v>
      </c>
      <c r="M23" s="30">
        <v>833112</v>
      </c>
      <c r="N23" s="30">
        <f t="shared" si="15"/>
        <v>914526.60648684215</v>
      </c>
      <c r="O23" s="30">
        <f t="shared" si="16"/>
        <v>81414.606486842153</v>
      </c>
      <c r="P23" s="32">
        <f t="shared" si="17"/>
        <v>-4006267.2853991278</v>
      </c>
      <c r="R23" s="32">
        <f t="shared" si="18"/>
        <v>309388.15350614768</v>
      </c>
    </row>
    <row r="24" spans="2:18" x14ac:dyDescent="0.25">
      <c r="B24" s="31">
        <f t="shared" si="11"/>
        <v>1945660.8069693821</v>
      </c>
      <c r="C24" s="34">
        <f t="shared" si="12"/>
        <v>0.60895575926215928</v>
      </c>
      <c r="D24" s="32">
        <f t="shared" si="13"/>
        <v>5553575.8196206652</v>
      </c>
      <c r="E24" s="33">
        <f t="shared" si="4"/>
        <v>11119834.626984481</v>
      </c>
      <c r="F24" s="33">
        <f t="shared" si="5"/>
        <v>9119834.6269844808</v>
      </c>
      <c r="H24" s="29">
        <f t="shared" si="6"/>
        <v>0.19701379102423044</v>
      </c>
      <c r="I24" s="32">
        <f t="shared" si="7"/>
        <v>14673410.446605146</v>
      </c>
      <c r="J24" s="32">
        <f t="shared" si="14"/>
        <v>28543391.52912822</v>
      </c>
      <c r="K24" s="32">
        <f t="shared" si="8"/>
        <v>18543391.52912822</v>
      </c>
      <c r="L24">
        <v>18</v>
      </c>
      <c r="M24" s="30">
        <v>833112</v>
      </c>
      <c r="N24" s="30">
        <f t="shared" si="15"/>
        <v>969398.2028760527</v>
      </c>
      <c r="O24" s="30">
        <f t="shared" si="16"/>
        <v>136286.2028760527</v>
      </c>
      <c r="P24" s="32">
        <f t="shared" si="17"/>
        <v>-3869981.0825230749</v>
      </c>
      <c r="R24" s="32">
        <f t="shared" si="18"/>
        <v>291875.61651523365</v>
      </c>
    </row>
    <row r="25" spans="2:18" x14ac:dyDescent="0.25">
      <c r="B25" s="31">
        <f t="shared" si="11"/>
        <v>2098310.0834522578</v>
      </c>
      <c r="C25" s="34">
        <f t="shared" si="12"/>
        <v>0.62048072865174075</v>
      </c>
      <c r="D25" s="32">
        <f t="shared" si="13"/>
        <v>6348645.9437185265</v>
      </c>
      <c r="E25" s="33">
        <f t="shared" si="4"/>
        <v>12231818.089682929</v>
      </c>
      <c r="F25" s="33">
        <f t="shared" si="5"/>
        <v>10231818.089682929</v>
      </c>
      <c r="H25" s="29">
        <f t="shared" si="6"/>
        <v>0.19310340812376614</v>
      </c>
      <c r="I25" s="32">
        <f t="shared" si="7"/>
        <v>16580464.033401456</v>
      </c>
      <c r="J25" s="32">
        <f t="shared" si="14"/>
        <v>30255995.020875916</v>
      </c>
      <c r="K25" s="32">
        <f t="shared" si="8"/>
        <v>20255995.020875916</v>
      </c>
      <c r="L25">
        <v>19</v>
      </c>
      <c r="M25" s="30">
        <v>833112</v>
      </c>
      <c r="N25" s="30">
        <f t="shared" si="15"/>
        <v>1027562.0950486159</v>
      </c>
      <c r="O25" s="30">
        <f t="shared" si="16"/>
        <v>194450.09504861594</v>
      </c>
      <c r="P25" s="32">
        <f t="shared" si="17"/>
        <v>-3675530.9874744592</v>
      </c>
      <c r="R25" s="32">
        <f t="shared" si="18"/>
        <v>275354.3552030506</v>
      </c>
    </row>
    <row r="26" spans="2:18" x14ac:dyDescent="0.25">
      <c r="B26" s="31">
        <f t="shared" si="11"/>
        <v>2244036.0624331878</v>
      </c>
      <c r="C26" s="34">
        <f t="shared" si="12"/>
        <v>0.62827828201043712</v>
      </c>
      <c r="D26" s="32">
        <f t="shared" si="13"/>
        <v>7196927.6567543224</v>
      </c>
      <c r="E26" s="33">
        <f t="shared" si="4"/>
        <v>13454999.898651224</v>
      </c>
      <c r="F26" s="33">
        <f t="shared" si="5"/>
        <v>11454999.898651224</v>
      </c>
      <c r="H26" s="29">
        <f t="shared" si="6"/>
        <v>0.18936772288304105</v>
      </c>
      <c r="I26" s="32">
        <f t="shared" si="7"/>
        <v>18651927.555405546</v>
      </c>
      <c r="J26" s="32">
        <f t="shared" si="14"/>
        <v>32071354.722128473</v>
      </c>
      <c r="K26" s="32">
        <f t="shared" si="8"/>
        <v>22071354.722128473</v>
      </c>
      <c r="L26">
        <v>20</v>
      </c>
      <c r="M26" s="30">
        <v>833112</v>
      </c>
      <c r="N26" s="30">
        <f t="shared" si="15"/>
        <v>1089215.8207515329</v>
      </c>
      <c r="O26" s="30">
        <f t="shared" si="16"/>
        <v>256103.82075153291</v>
      </c>
      <c r="P26" s="32">
        <f t="shared" si="17"/>
        <v>-3419427.1667229263</v>
      </c>
      <c r="R26" s="32">
        <f t="shared" si="18"/>
        <v>259768.25962551945</v>
      </c>
    </row>
    <row r="27" spans="2:18" x14ac:dyDescent="0.25">
      <c r="B27" s="31">
        <f t="shared" si="11"/>
        <v>2626889.4392151553</v>
      </c>
      <c r="C27" s="34">
        <f t="shared" si="12"/>
        <v>0.69765070098747584</v>
      </c>
      <c r="D27" s="32">
        <f t="shared" si="13"/>
        <v>8930277.7202135362</v>
      </c>
      <c r="E27" s="33">
        <f t="shared" si="4"/>
        <v>14800499.888516348</v>
      </c>
      <c r="F27" s="33">
        <f t="shared" si="5"/>
        <v>12800499.888516348</v>
      </c>
      <c r="H27" s="29">
        <f t="shared" si="6"/>
        <v>0.18794885333151856</v>
      </c>
      <c r="I27" s="32">
        <f t="shared" si="7"/>
        <v>21730777.608729884</v>
      </c>
      <c r="J27" s="32">
        <f t="shared" si="14"/>
        <v>33995636.005456187</v>
      </c>
      <c r="K27" s="32">
        <f t="shared" si="8"/>
        <v>23995636.005456187</v>
      </c>
      <c r="L27">
        <v>21</v>
      </c>
      <c r="M27" s="30">
        <v>0</v>
      </c>
      <c r="N27" s="30">
        <f t="shared" si="15"/>
        <v>1154568.7699966249</v>
      </c>
      <c r="O27" s="30">
        <f t="shared" si="16"/>
        <v>1154568.7699966249</v>
      </c>
      <c r="P27" s="32">
        <f t="shared" si="17"/>
        <v>-2264858.3967263014</v>
      </c>
      <c r="R27" s="32">
        <f t="shared" si="18"/>
        <v>0</v>
      </c>
    </row>
    <row r="28" spans="2:18" x14ac:dyDescent="0.25">
      <c r="B28" s="31">
        <f t="shared" si="11"/>
        <v>2973136.5459384383</v>
      </c>
      <c r="C28" s="34">
        <f t="shared" si="12"/>
        <v>0.75023783256869492</v>
      </c>
      <c r="D28" s="32">
        <f t="shared" si="13"/>
        <v>10713808.787885699</v>
      </c>
      <c r="E28" s="33">
        <f t="shared" si="4"/>
        <v>16280549.877367985</v>
      </c>
      <c r="F28" s="33">
        <f t="shared" si="5"/>
        <v>14280549.877367985</v>
      </c>
      <c r="H28" s="29">
        <f t="shared" si="6"/>
        <v>0.1860161175081303</v>
      </c>
      <c r="I28" s="32">
        <f t="shared" si="7"/>
        <v>24994358.665253684</v>
      </c>
      <c r="J28" s="32">
        <f t="shared" si="14"/>
        <v>36035374.165783562</v>
      </c>
      <c r="K28" s="32">
        <f t="shared" si="8"/>
        <v>26035374.165783562</v>
      </c>
      <c r="L28">
        <v>22</v>
      </c>
      <c r="M28" s="30">
        <v>0</v>
      </c>
      <c r="N28" s="30">
        <f t="shared" si="15"/>
        <v>1223842.8961964224</v>
      </c>
      <c r="O28" s="30">
        <f t="shared" si="16"/>
        <v>1223842.8961964224</v>
      </c>
      <c r="P28" s="32">
        <f t="shared" si="17"/>
        <v>-1041015.500529879</v>
      </c>
      <c r="R28" s="32">
        <f t="shared" si="18"/>
        <v>0</v>
      </c>
    </row>
    <row r="29" spans="2:18" x14ac:dyDescent="0.25">
      <c r="B29" s="31">
        <f t="shared" si="11"/>
        <v>3284285.8384854854</v>
      </c>
      <c r="C29" s="34">
        <f t="shared" si="12"/>
        <v>0.78857636017987132</v>
      </c>
      <c r="D29" s="32">
        <f t="shared" si="13"/>
        <v>12545149.720064122</v>
      </c>
      <c r="E29" s="33">
        <f t="shared" si="4"/>
        <v>17908604.865104783</v>
      </c>
      <c r="F29" s="33">
        <f t="shared" si="5"/>
        <v>15908604.865104783</v>
      </c>
      <c r="H29" s="29">
        <f t="shared" si="6"/>
        <v>0.18375843746099108</v>
      </c>
      <c r="I29" s="32">
        <f t="shared" si="7"/>
        <v>28453754.585168906</v>
      </c>
      <c r="J29" s="32">
        <f t="shared" si="14"/>
        <v>38197496.615730576</v>
      </c>
      <c r="K29" s="32">
        <f t="shared" si="8"/>
        <v>28197496.615730576</v>
      </c>
      <c r="L29">
        <v>23</v>
      </c>
      <c r="M29" s="30">
        <v>0</v>
      </c>
      <c r="N29" s="30">
        <f t="shared" si="15"/>
        <v>1297273.4699682079</v>
      </c>
      <c r="O29" s="30">
        <f t="shared" si="16"/>
        <v>1297273.4699682079</v>
      </c>
      <c r="P29" s="32">
        <f t="shared" si="17"/>
        <v>256257.96943832887</v>
      </c>
      <c r="R29" s="32">
        <f t="shared" si="18"/>
        <v>0</v>
      </c>
    </row>
    <row r="30" spans="2:18" x14ac:dyDescent="0.25">
      <c r="B30" s="31">
        <f t="shared" si="11"/>
        <v>3561739.1206269208</v>
      </c>
      <c r="C30" s="34">
        <f t="shared" si="12"/>
        <v>0.81478443682750468</v>
      </c>
      <c r="D30" s="32">
        <f t="shared" si="13"/>
        <v>14421248.908663776</v>
      </c>
      <c r="E30" s="33">
        <f t="shared" si="4"/>
        <v>19699465.351615265</v>
      </c>
      <c r="F30" s="33">
        <f t="shared" si="5"/>
        <v>17699465.351615265</v>
      </c>
      <c r="H30" s="29">
        <f t="shared" si="6"/>
        <v>0.1813030180972246</v>
      </c>
      <c r="I30" s="32">
        <f t="shared" si="7"/>
        <v>32120714.260279041</v>
      </c>
      <c r="J30" s="32">
        <f t="shared" si="14"/>
        <v>40489346.412674412</v>
      </c>
      <c r="K30" s="32">
        <f t="shared" si="8"/>
        <v>30489346.412674412</v>
      </c>
      <c r="L30">
        <v>24</v>
      </c>
      <c r="M30" s="30">
        <v>0</v>
      </c>
      <c r="N30" s="30">
        <f t="shared" si="15"/>
        <v>1375109.8781663005</v>
      </c>
      <c r="O30" s="30">
        <f t="shared" si="16"/>
        <v>1375109.8781663005</v>
      </c>
      <c r="P30" s="32">
        <f t="shared" si="17"/>
        <v>1631367.8476046294</v>
      </c>
      <c r="R30" s="32">
        <f t="shared" si="18"/>
        <v>0</v>
      </c>
    </row>
    <row r="31" spans="2:18" x14ac:dyDescent="0.25">
      <c r="B31" s="31">
        <f t="shared" si="11"/>
        <v>3806796.7783744144</v>
      </c>
      <c r="C31" s="34">
        <f t="shared" si="12"/>
        <v>0.8306440336481421</v>
      </c>
      <c r="D31" s="32">
        <f t="shared" si="13"/>
        <v>16338279.62911899</v>
      </c>
      <c r="E31" s="33">
        <f t="shared" si="4"/>
        <v>21669411.886776794</v>
      </c>
      <c r="F31" s="33">
        <f t="shared" si="5"/>
        <v>19669411.886776794</v>
      </c>
      <c r="H31" s="29">
        <f t="shared" si="6"/>
        <v>0.17873680366887701</v>
      </c>
      <c r="I31" s="32">
        <f t="shared" si="7"/>
        <v>36007691.515895784</v>
      </c>
      <c r="J31" s="32">
        <f t="shared" si="14"/>
        <v>42918707.19743488</v>
      </c>
      <c r="K31" s="32">
        <f t="shared" si="8"/>
        <v>32918707.19743488</v>
      </c>
      <c r="L31">
        <v>25</v>
      </c>
      <c r="M31" s="30">
        <v>0</v>
      </c>
      <c r="N31" s="30">
        <f t="shared" si="15"/>
        <v>1457616.4708562787</v>
      </c>
      <c r="O31" s="30">
        <f t="shared" si="16"/>
        <v>1457616.4708562787</v>
      </c>
      <c r="P31" s="32">
        <f t="shared" si="17"/>
        <v>3088984.3184609078</v>
      </c>
      <c r="R31" s="32">
        <f t="shared" si="18"/>
        <v>0</v>
      </c>
    </row>
    <row r="32" spans="2:18" x14ac:dyDescent="0.25">
      <c r="B32" s="31">
        <f t="shared" si="11"/>
        <v>4020662.6877641827</v>
      </c>
      <c r="C32" s="34">
        <f t="shared" si="12"/>
        <v>0.83766434203502504</v>
      </c>
      <c r="D32" s="32">
        <f t="shared" si="13"/>
        <v>18291534.331395067</v>
      </c>
      <c r="E32" s="33">
        <f t="shared" si="4"/>
        <v>23836353.075454473</v>
      </c>
      <c r="F32" s="33">
        <f t="shared" si="5"/>
        <v>21836353.075454473</v>
      </c>
      <c r="H32" s="29">
        <f t="shared" si="6"/>
        <v>0.17611980384070036</v>
      </c>
      <c r="I32" s="32">
        <f t="shared" si="7"/>
        <v>40127887.406849541</v>
      </c>
      <c r="J32" s="32">
        <f t="shared" si="14"/>
        <v>45493829.629280977</v>
      </c>
      <c r="K32" s="32">
        <f t="shared" si="8"/>
        <v>35493829.629280977</v>
      </c>
      <c r="L32">
        <v>26</v>
      </c>
      <c r="M32" s="30">
        <v>0</v>
      </c>
      <c r="N32" s="30">
        <f t="shared" si="15"/>
        <v>1545073.4591076556</v>
      </c>
      <c r="O32" s="30">
        <f t="shared" si="16"/>
        <v>1545073.4591076556</v>
      </c>
      <c r="P32" s="32">
        <f t="shared" si="17"/>
        <v>4634057.7775685638</v>
      </c>
      <c r="R32" s="32">
        <f t="shared" si="18"/>
        <v>0</v>
      </c>
    </row>
    <row r="33" spans="2:18" x14ac:dyDescent="0.25">
      <c r="B33" s="31">
        <f t="shared" si="11"/>
        <v>4204448.8134133257</v>
      </c>
      <c r="C33" s="34">
        <f t="shared" si="12"/>
        <v>0.83713114753151108</v>
      </c>
      <c r="D33" s="32">
        <f t="shared" si="13"/>
        <v>20275306.668260593</v>
      </c>
      <c r="E33" s="33">
        <f t="shared" si="4"/>
        <v>26219988.382999923</v>
      </c>
      <c r="F33" s="33">
        <f t="shared" si="5"/>
        <v>24219988.382999923</v>
      </c>
      <c r="H33" s="29">
        <f t="shared" si="6"/>
        <v>0.17349363972993626</v>
      </c>
      <c r="I33" s="32">
        <f t="shared" si="7"/>
        <v>44495295.051260516</v>
      </c>
      <c r="J33" s="32">
        <f t="shared" si="14"/>
        <v>48223459.407037839</v>
      </c>
      <c r="K33" s="32">
        <f t="shared" si="8"/>
        <v>38223459.407037839</v>
      </c>
      <c r="L33">
        <v>27</v>
      </c>
      <c r="M33" s="30">
        <v>0</v>
      </c>
      <c r="N33" s="30">
        <f t="shared" si="15"/>
        <v>1637777.866654115</v>
      </c>
      <c r="O33" s="30">
        <f t="shared" si="16"/>
        <v>1637777.866654115</v>
      </c>
      <c r="P33" s="32">
        <f t="shared" si="17"/>
        <v>6271835.6442226786</v>
      </c>
      <c r="R33" s="32">
        <f t="shared" si="18"/>
        <v>0</v>
      </c>
    </row>
    <row r="34" spans="2:18" x14ac:dyDescent="0.25">
      <c r="B34" s="31">
        <f t="shared" si="11"/>
        <v>4359179.5141664855</v>
      </c>
      <c r="C34" s="34">
        <f t="shared" si="12"/>
        <v>0.83014568740105066</v>
      </c>
      <c r="D34" s="32">
        <f t="shared" si="13"/>
        <v>22282759.933036238</v>
      </c>
      <c r="E34" s="33">
        <f t="shared" si="4"/>
        <v>28841987.221299917</v>
      </c>
      <c r="F34" s="33">
        <f t="shared" si="5"/>
        <v>26841987.221299917</v>
      </c>
      <c r="H34" s="29">
        <f t="shared" si="6"/>
        <v>0.17088717098658046</v>
      </c>
      <c r="I34" s="32">
        <f t="shared" si="7"/>
        <v>49124747.154336154</v>
      </c>
      <c r="J34" s="32">
        <f t="shared" si="14"/>
        <v>51116866.971460111</v>
      </c>
      <c r="K34" s="32">
        <f t="shared" si="8"/>
        <v>41116866.971460111</v>
      </c>
      <c r="L34">
        <v>28</v>
      </c>
      <c r="M34" s="30">
        <v>0</v>
      </c>
      <c r="N34" s="30">
        <f t="shared" si="15"/>
        <v>1736044.5386533621</v>
      </c>
      <c r="O34" s="30">
        <f t="shared" si="16"/>
        <v>1736044.5386533621</v>
      </c>
      <c r="P34" s="32">
        <f t="shared" si="17"/>
        <v>8007880.1828760412</v>
      </c>
      <c r="R34" s="32">
        <f t="shared" si="18"/>
        <v>0</v>
      </c>
    </row>
    <row r="35" spans="2:18" x14ac:dyDescent="0.25">
      <c r="B35" s="31">
        <f t="shared" si="11"/>
        <v>4485795.5711818589</v>
      </c>
      <c r="C35" s="34">
        <f t="shared" si="12"/>
        <v>0.81765553395989854</v>
      </c>
      <c r="D35" s="32">
        <f t="shared" si="13"/>
        <v>24305780.440166414</v>
      </c>
      <c r="E35" s="33">
        <f t="shared" si="4"/>
        <v>31726185.94342991</v>
      </c>
      <c r="F35" s="33">
        <f t="shared" si="5"/>
        <v>29726185.94342991</v>
      </c>
      <c r="H35" s="29">
        <f t="shared" si="6"/>
        <v>0.16832028341961069</v>
      </c>
      <c r="I35" s="32">
        <f t="shared" si="7"/>
        <v>54031966.383596323</v>
      </c>
      <c r="J35" s="32">
        <f t="shared" si="14"/>
        <v>54183878.989747718</v>
      </c>
      <c r="K35" s="32">
        <f t="shared" si="8"/>
        <v>44183878.989747718</v>
      </c>
      <c r="L35">
        <v>29</v>
      </c>
      <c r="M35" s="30">
        <v>0</v>
      </c>
      <c r="N35" s="30">
        <f t="shared" si="15"/>
        <v>1840207.2109725638</v>
      </c>
      <c r="O35" s="30">
        <f t="shared" si="16"/>
        <v>1840207.2109725638</v>
      </c>
      <c r="P35" s="32">
        <f t="shared" si="17"/>
        <v>9848087.3938486055</v>
      </c>
      <c r="R35" s="32">
        <f t="shared" si="18"/>
        <v>0</v>
      </c>
    </row>
    <row r="36" spans="2:18" x14ac:dyDescent="0.25">
      <c r="B36" s="31">
        <f t="shared" si="11"/>
        <v>4585157.9528904296</v>
      </c>
      <c r="C36" s="34">
        <f t="shared" si="12"/>
        <v>0.80047936692054522</v>
      </c>
      <c r="D36" s="32">
        <f t="shared" si="13"/>
        <v>26334814.228839211</v>
      </c>
      <c r="E36" s="33">
        <f t="shared" si="4"/>
        <v>34898804.537772901</v>
      </c>
      <c r="F36" s="33">
        <f t="shared" si="5"/>
        <v>32898804.537772901</v>
      </c>
      <c r="H36" s="29">
        <f t="shared" si="6"/>
        <v>0.16580648631971484</v>
      </c>
      <c r="I36" s="32">
        <f t="shared" si="7"/>
        <v>59233618.766612113</v>
      </c>
      <c r="J36" s="32">
        <f t="shared" si="14"/>
        <v>57434911.729132585</v>
      </c>
      <c r="K36" s="32">
        <f t="shared" si="8"/>
        <v>47434911.729132585</v>
      </c>
      <c r="L36">
        <v>30</v>
      </c>
      <c r="M36" s="30">
        <v>0</v>
      </c>
      <c r="N36" s="30">
        <f t="shared" si="15"/>
        <v>1950619.6436309176</v>
      </c>
      <c r="O36" s="30">
        <f t="shared" si="16"/>
        <v>1950619.6436309176</v>
      </c>
      <c r="P36" s="32">
        <f t="shared" si="17"/>
        <v>11798707.037479524</v>
      </c>
      <c r="R36" s="32">
        <f t="shared" si="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Pawar</cp:lastModifiedBy>
  <dcterms:modified xsi:type="dcterms:W3CDTF">2025-08-07T14:17:07Z</dcterms:modified>
</cp:coreProperties>
</file>